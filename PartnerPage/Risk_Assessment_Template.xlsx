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_Categories" sheetId="3" state="visible" r:id="rId3"/>
    <sheet xmlns:r="http://schemas.openxmlformats.org/officeDocument/2006/relationships" name="Top_5_Risks" sheetId="4" state="visible" r:id="rId4"/>
    <sheet xmlns:r="http://schemas.openxmlformats.org/officeDocument/2006/relationships" name="Reserve_Fu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$#,##0"/>
  </numFmts>
  <fonts count="2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2"/>
    </font>
    <font>
      <i val="1"/>
      <sz val="9"/>
    </font>
    <font>
      <b val="1"/>
      <color rgb="000070C0"/>
      <sz val="14"/>
    </font>
    <font>
      <sz val="10"/>
    </font>
    <font>
      <b val="1"/>
      <color rgb="000070C0"/>
      <sz val="11"/>
    </font>
    <font>
      <i val="1"/>
      <sz val="10"/>
    </font>
    <font>
      <b val="1"/>
      <color rgb="00FFFFFF"/>
      <sz val="14"/>
    </font>
    <font>
      <b val="1"/>
      <color rgb="000070C0"/>
      <sz val="12"/>
    </font>
    <font>
      <b val="1"/>
      <color rgb="00FFFFFF"/>
    </font>
    <font>
      <b val="1"/>
      <sz val="10"/>
    </font>
    <font>
      <b val="1"/>
      <color rgb="00FFFFFF"/>
      <sz val="12"/>
    </font>
    <font>
      <b val="1"/>
      <color rgb="0000B050"/>
      <sz val="10"/>
    </font>
    <font>
      <color rgb="0000B050"/>
    </font>
    <font>
      <b val="1"/>
      <color rgb="000070C0"/>
      <sz val="10"/>
    </font>
    <font>
      <b val="1"/>
      <color rgb="0000B050"/>
      <sz val="11"/>
    </font>
    <font>
      <b val="1"/>
      <color rgb="00FFFFFF"/>
      <sz val="16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CE6F1"/>
        <bgColor rgb="00DCE6F1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indent="1"/>
    </xf>
    <xf numFmtId="0" fontId="8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3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center"/>
    </xf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11" fillId="0" borderId="0" pivotButton="0" quotePrefix="0" xfId="0"/>
    <xf numFmtId="0" fontId="0" fillId="4" borderId="0" pivotButton="0" quotePrefix="0" xfId="0"/>
    <xf numFmtId="0" fontId="12" fillId="5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pivotButton="0" quotePrefix="0" xfId="0"/>
    <xf numFmtId="165" fontId="0" fillId="4" borderId="0" pivotButton="0" quotePrefix="0" xfId="0"/>
    <xf numFmtId="2" fontId="13" fillId="6" borderId="0" pivotButton="0" quotePrefix="0" xfId="0"/>
    <xf numFmtId="0" fontId="3" fillId="0" borderId="0" pivotButton="0" quotePrefix="0" xfId="0"/>
    <xf numFmtId="0" fontId="12" fillId="7" borderId="0" pivotButton="0" quotePrefix="0" xfId="0"/>
    <xf numFmtId="0" fontId="12" fillId="2" borderId="0" pivotButton="0" quotePrefix="0" xfId="0"/>
    <xf numFmtId="165" fontId="0" fillId="4" borderId="1" pivotButton="0" quotePrefix="0" xfId="0"/>
    <xf numFmtId="165" fontId="13" fillId="6" borderId="1" pivotButton="0" quotePrefix="0" xfId="0"/>
    <xf numFmtId="0" fontId="10" fillId="2" borderId="1" applyAlignment="1" pivotButton="0" quotePrefix="0" xfId="0">
      <alignment horizontal="center"/>
    </xf>
    <xf numFmtId="164" fontId="0" fillId="4" borderId="1" pivotButton="0" quotePrefix="0" xfId="0"/>
    <xf numFmtId="165" fontId="14" fillId="6" borderId="1" pivotButton="0" quotePrefix="0" xfId="0"/>
    <xf numFmtId="0" fontId="15" fillId="0" borderId="0" pivotButton="0" quotePrefix="0" xfId="0"/>
    <xf numFmtId="165" fontId="16" fillId="7" borderId="1" pivotButton="0" quotePrefix="0" xfId="0"/>
    <xf numFmtId="0" fontId="17" fillId="2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0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CAPSERIESX RISK ASSESSMENT TEMPLATE</t>
        </is>
      </c>
    </row>
    <row r="2">
      <c r="A2" s="2" t="inlineStr">
        <is>
          <t>Comprehensive Investment Risk Analysis Framework</t>
        </is>
      </c>
    </row>
    <row r="4">
      <c r="A4" s="3" t="inlineStr">
        <is>
          <t>Version: 1.0 | Last Updated: December 2024 | © DeFi Assets LLC</t>
        </is>
      </c>
    </row>
    <row r="6">
      <c r="A6" s="4" t="inlineStr">
        <is>
          <t>PURPOSE &amp; OVERVIEW</t>
        </is>
      </c>
    </row>
    <row r="8">
      <c r="A8" s="5" t="inlineStr">
        <is>
          <t>This template helps you systematically identify, quantify, and develop mitigation strategies for ALL investment risks.</t>
        </is>
      </c>
    </row>
    <row r="9">
      <c r="A9" s="5" t="inlineStr">
        <is>
          <t>A thorough risk assessment is REQUIRED for Gold and Platinum partners and demonstrates investment sophistication.</t>
        </is>
      </c>
    </row>
    <row r="10">
      <c r="A10" s="5" t="inlineStr"/>
    </row>
    <row r="11">
      <c r="A11" s="5" t="inlineStr">
        <is>
          <t>WHAT THIS TEMPLATE INCLUDES:</t>
        </is>
      </c>
    </row>
    <row r="12">
      <c r="A12" s="5" t="inlineStr">
        <is>
          <t>• Risk Identification Matrix - Systematic review of all risk categories</t>
        </is>
      </c>
    </row>
    <row r="13">
      <c r="A13" s="5" t="inlineStr">
        <is>
          <t>• Top 5 Risks Analysis - Detailed assessment of highest-priority risks</t>
        </is>
      </c>
    </row>
    <row r="14">
      <c r="A14" s="5" t="inlineStr">
        <is>
          <t>• Probability &amp; Impact Scoring - Quantify each risk's likelihood and financial impact</t>
        </is>
      </c>
    </row>
    <row r="15">
      <c r="A15" s="5" t="inlineStr">
        <is>
          <t>• Mitigation Strategy Builder - Document how you'll address each risk</t>
        </is>
      </c>
    </row>
    <row r="16">
      <c r="A16" s="5" t="inlineStr">
        <is>
          <t>• Reserve Fund Calculator - Determine appropriate capital reserves</t>
        </is>
      </c>
    </row>
    <row r="17">
      <c r="A17" s="5" t="inlineStr">
        <is>
          <t>• Risk Heat Map - Visual representation of risk profile</t>
        </is>
      </c>
    </row>
    <row r="18">
      <c r="A18" s="5" t="inlineStr">
        <is>
          <t>• Summary Dashboard - Overall risk rating and investment decision framework</t>
        </is>
      </c>
    </row>
    <row r="19">
      <c r="A19" s="5" t="inlineStr"/>
    </row>
    <row r="20">
      <c r="A20" s="5" t="inlineStr">
        <is>
          <t>HOW TO USE THIS TEMPLATE:</t>
        </is>
      </c>
    </row>
    <row r="21">
      <c r="A21" s="5" t="inlineStr"/>
    </row>
    <row r="22">
      <c r="A22" s="6" t="inlineStr">
        <is>
          <t>STEP 1: Review RISK CATEGORIES tab - Check all applicable risks</t>
        </is>
      </c>
    </row>
    <row r="23">
      <c r="A23" s="6" t="inlineStr">
        <is>
          <t>STEP 2: Complete TOP 5 RISKS analysis (rank from highest to lowest priority)</t>
        </is>
      </c>
    </row>
    <row r="24">
      <c r="A24" s="6" t="inlineStr">
        <is>
          <t>STEP 3: Fill in PROBABILITY &amp; IMPACT scores for each risk</t>
        </is>
      </c>
    </row>
    <row r="25">
      <c r="A25" s="6" t="inlineStr">
        <is>
          <t>STEP 4: Document detailed MITIGATION STRATEGIES</t>
        </is>
      </c>
    </row>
    <row r="26">
      <c r="A26" s="6" t="inlineStr">
        <is>
          <t>STEP 5: Calculate RESERVE FUNDS needed</t>
        </is>
      </c>
    </row>
    <row r="27">
      <c r="A27" s="6" t="inlineStr">
        <is>
          <t>STEP 6: Review RISK HEAT MAP visualization</t>
        </is>
      </c>
    </row>
    <row r="28">
      <c r="A28" s="6" t="inlineStr">
        <is>
          <t>STEP 7: Complete SUMMARY &amp; DECISION framework</t>
        </is>
      </c>
    </row>
    <row r="29">
      <c r="A29" s="5" t="inlineStr"/>
    </row>
    <row r="30">
      <c r="A30" s="6" t="inlineStr">
        <is>
          <t>TIER-SPECIFIC REQUIREMENTS:</t>
        </is>
      </c>
    </row>
    <row r="31">
      <c r="A31" s="5" t="inlineStr">
        <is>
          <t>• BRONZE: Not required (CapSeriesX completes internally)</t>
        </is>
      </c>
    </row>
    <row r="32">
      <c r="A32" s="5" t="inlineStr">
        <is>
          <t>• SILVER: Basic risk assessment (3 major risks minimum)</t>
        </is>
      </c>
    </row>
    <row r="33">
      <c r="A33" s="5" t="inlineStr">
        <is>
          <t>• GOLD: Comprehensive risk assessment (Top 5 risks + reserve analysis) ⭐</t>
        </is>
      </c>
    </row>
    <row r="34">
      <c r="A34" s="5" t="inlineStr">
        <is>
          <t>• PLATINUM: Full risk assessment + stress testing scenarios ⭐⭐</t>
        </is>
      </c>
    </row>
    <row r="35">
      <c r="A35" s="5" t="inlineStr"/>
    </row>
    <row r="36">
      <c r="A36" s="6" t="inlineStr">
        <is>
          <t>RISK ASSESSMENT BEST PRACTICES:</t>
        </is>
      </c>
    </row>
    <row r="37">
      <c r="A37" s="5" t="inlineStr">
        <is>
          <t>✓ Be honest - hiding risks doesn't make them go away</t>
        </is>
      </c>
    </row>
    <row r="38">
      <c r="A38" s="5" t="inlineStr">
        <is>
          <t>✓ Use data - support probability estimates with market research</t>
        </is>
      </c>
    </row>
    <row r="39">
      <c r="A39" s="5" t="inlineStr">
        <is>
          <t>✓ Be specific - 'market downturn' is too vague, specify what conditions</t>
        </is>
      </c>
    </row>
    <row r="40">
      <c r="A40" s="5" t="inlineStr">
        <is>
          <t>✓ Quantify impact - estimate dollar amounts for each risk</t>
        </is>
      </c>
    </row>
    <row r="41">
      <c r="A41" s="5" t="inlineStr">
        <is>
          <t>✓ Document assumptions - explain how you calculated probabilities</t>
        </is>
      </c>
    </row>
    <row r="42">
      <c r="A42" s="5" t="inlineStr">
        <is>
          <t>✓ Plan for worst case - what happens if multiple risks occur simultaneously?</t>
        </is>
      </c>
    </row>
    <row r="43">
      <c r="A43" s="5" t="inlineStr">
        <is>
          <t>✓ Review comparable deals - what risks materialized for similar properties?</t>
        </is>
      </c>
    </row>
    <row r="44">
      <c r="A44" s="5" t="inlineStr"/>
    </row>
    <row r="45">
      <c r="A45" s="6" t="inlineStr">
        <is>
          <t>PROBABILITY SCORING GUIDE:</t>
        </is>
      </c>
    </row>
    <row r="46">
      <c r="A46" s="5" t="inlineStr">
        <is>
          <t>• HIGH (60-100%): More likely to occur than not</t>
        </is>
      </c>
    </row>
    <row r="47">
      <c r="A47" s="5" t="inlineStr">
        <is>
          <t>• MEDIUM (30-60%): Roughly 50/50 chance</t>
        </is>
      </c>
    </row>
    <row r="48">
      <c r="A48" s="5" t="inlineStr">
        <is>
          <t>• LOW (0-30%): Unlikely but possible</t>
        </is>
      </c>
    </row>
    <row r="49">
      <c r="A49" s="5" t="inlineStr"/>
    </row>
    <row r="50">
      <c r="A50" s="6" t="inlineStr">
        <is>
          <t>IMPACT SCORING GUIDE:</t>
        </is>
      </c>
    </row>
    <row r="51">
      <c r="A51" s="5" t="inlineStr">
        <is>
          <t>• CRITICAL: Could cause deal failure or major investor losses (&gt;20% of equity)</t>
        </is>
      </c>
    </row>
    <row r="52">
      <c r="A52" s="5" t="inlineStr">
        <is>
          <t>• HIGH: Significant financial impact (10-20% of equity)</t>
        </is>
      </c>
    </row>
    <row r="53">
      <c r="A53" s="5" t="inlineStr">
        <is>
          <t>• MEDIUM: Moderate impact, manageable (5-10% of equity)</t>
        </is>
      </c>
    </row>
    <row r="54">
      <c r="A54" s="5" t="inlineStr">
        <is>
          <t>• LOW: Minor impact, easily absorbed (&lt;5% of equity)</t>
        </is>
      </c>
    </row>
    <row r="55">
      <c r="A55" s="5" t="inlineStr"/>
    </row>
    <row r="56">
      <c r="A56" s="6" t="inlineStr">
        <is>
          <t>COMMON RISK CATEGORIES:</t>
        </is>
      </c>
    </row>
    <row r="57">
      <c r="A57" s="7" t="inlineStr">
        <is>
          <t>1. Market Risk - Rent declines, vacancy increases, market downturn</t>
        </is>
      </c>
    </row>
    <row r="58">
      <c r="A58" s="7" t="inlineStr">
        <is>
          <t>2. Financial Risk - Interest rate changes, refinancing challenges, cost overruns</t>
        </is>
      </c>
    </row>
    <row r="59">
      <c r="A59" s="7" t="inlineStr">
        <is>
          <t>3. Operational Risk - Management issues, deferred maintenance, tenant problems</t>
        </is>
      </c>
    </row>
    <row r="60">
      <c r="A60" s="7" t="inlineStr">
        <is>
          <t>4. Legal/Regulatory - Zoning changes, rent control, code violations</t>
        </is>
      </c>
    </row>
    <row r="61">
      <c r="A61" s="7" t="inlineStr">
        <is>
          <t>5. Environmental - Contamination, natural disasters, climate risks</t>
        </is>
      </c>
    </row>
    <row r="62">
      <c r="A62" s="7" t="inlineStr">
        <is>
          <t>6. Exit Risk - Difficulty selling, lower-than-expected sale price</t>
        </is>
      </c>
    </row>
    <row r="63">
      <c r="A63" s="5" t="inlineStr"/>
    </row>
    <row r="64">
      <c r="A64" s="6" t="inlineStr">
        <is>
          <t>ESTIMATED TIME TO COMPLETE:</t>
        </is>
      </c>
    </row>
    <row r="65">
      <c r="A65" s="5" t="inlineStr">
        <is>
          <t>• Silver Partners: 2-4 hours</t>
        </is>
      </c>
    </row>
    <row r="66">
      <c r="A66" s="5" t="inlineStr">
        <is>
          <t>• Gold Partners: 6-10 hours</t>
        </is>
      </c>
    </row>
    <row r="67">
      <c r="A67" s="5" t="inlineStr">
        <is>
          <t>• Platinum Partners: 12-20 hours (with stress testing)</t>
        </is>
      </c>
    </row>
    <row r="68">
      <c r="A68" s="5" t="inlineStr"/>
    </row>
    <row r="69">
      <c r="A69" s="6" t="inlineStr">
        <is>
          <t>CRITICAL REMINDERS:</t>
        </is>
      </c>
    </row>
    <row r="70">
      <c r="A70" s="5" t="inlineStr">
        <is>
          <t>⚠ Minimum 6 months operating expenses in reserves recommended</t>
        </is>
      </c>
    </row>
    <row r="71">
      <c r="A71" s="5" t="inlineStr">
        <is>
          <t>⚠ Document sources for all probability and impact estimates</t>
        </is>
      </c>
    </row>
    <row r="72">
      <c r="A72" s="5" t="inlineStr">
        <is>
          <t>⚠ Each risk MUST have a specific, actionable mitigation strategy</t>
        </is>
      </c>
    </row>
    <row r="73">
      <c r="A73" s="5" t="inlineStr">
        <is>
          <t>⚠ Include both likelihood AND severity in risk prioritization</t>
        </is>
      </c>
    </row>
    <row r="74">
      <c r="A74" s="5" t="inlineStr">
        <is>
          <t>⚠ Consider correlation - some risks tend to occur together</t>
        </is>
      </c>
    </row>
    <row r="75">
      <c r="A75" s="5" t="inlineStr"/>
    </row>
    <row r="76">
      <c r="A76" s="6" t="inlineStr">
        <is>
          <t>SUPPORT:</t>
        </is>
      </c>
    </row>
    <row r="77">
      <c r="A77" s="5" t="inlineStr">
        <is>
          <t>Questions about risk assessment? Email: partners@veepcapital.com</t>
        </is>
      </c>
    </row>
    <row r="78">
      <c r="A78" s="5" t="inlineStr">
        <is>
          <t>Need help quantifying risks? Review your Market Research and Financial Analysis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33" t="inlineStr">
        <is>
          <t>RISK ASSESSMENT - EXECUTIVE SUMMARY</t>
        </is>
      </c>
    </row>
    <row r="3">
      <c r="A3" s="34" t="inlineStr">
        <is>
          <t>Property Address:</t>
        </is>
      </c>
      <c r="B3" s="35">
        <f>Top_5_Risks!B3</f>
        <v/>
      </c>
    </row>
    <row r="4">
      <c r="A4" s="34" t="inlineStr">
        <is>
          <t>Analysis Date:</t>
        </is>
      </c>
      <c r="B4" s="17" t="n"/>
    </row>
    <row r="5">
      <c r="A5" s="34" t="inlineStr">
        <is>
          <t>Partner Name:</t>
        </is>
      </c>
      <c r="B5" s="17" t="n"/>
    </row>
    <row r="7">
      <c r="A7" s="10" t="inlineStr">
        <is>
          <t>OVERALL RISK RATING</t>
        </is>
      </c>
    </row>
    <row r="8">
      <c r="A8" s="34" t="inlineStr">
        <is>
          <t>Investment Risk Profile:</t>
        </is>
      </c>
      <c r="B8" s="36" t="n"/>
      <c r="C8" s="37" t="n"/>
      <c r="D8" s="37" t="n"/>
      <c r="E8" s="37" t="n"/>
      <c r="F8" s="38" t="n"/>
    </row>
    <row r="10">
      <c r="A10" s="10" t="inlineStr">
        <is>
          <t>TOP 5 RISKS SUMMARY</t>
        </is>
      </c>
    </row>
    <row r="11">
      <c r="A11" s="28" t="inlineStr">
        <is>
          <t>#</t>
        </is>
      </c>
      <c r="B11" s="28" t="inlineStr">
        <is>
          <t>Risk Description</t>
        </is>
      </c>
      <c r="C11" s="28" t="inlineStr">
        <is>
          <t>Category</t>
        </is>
      </c>
      <c r="D11" s="28" t="inlineStr">
        <is>
          <t>Probability</t>
        </is>
      </c>
      <c r="E11" s="28" t="inlineStr">
        <is>
          <t>Impact</t>
        </is>
      </c>
      <c r="F11" s="28" t="inlineStr">
        <is>
          <t>Risk Score</t>
        </is>
      </c>
    </row>
    <row r="12">
      <c r="A12" s="39" t="n">
        <v>1</v>
      </c>
      <c r="B12" s="40">
        <f>Top_5_Risks!B7</f>
        <v/>
      </c>
      <c r="C12" s="39">
        <f>Top_5_Risks!B8</f>
        <v/>
      </c>
      <c r="D12" s="41">
        <f>Top_5_Risks!B9</f>
        <v/>
      </c>
      <c r="E12" s="39">
        <f>Top_5_Risks!D9</f>
        <v/>
      </c>
      <c r="F12" s="42">
        <f>Top_5_Risks!B10</f>
        <v/>
      </c>
    </row>
    <row r="13">
      <c r="A13" s="39" t="n">
        <v>2</v>
      </c>
      <c r="B13" s="40">
        <f>Top_5_Risks!B17</f>
        <v/>
      </c>
      <c r="C13" s="39">
        <f>Top_5_Risks!B18</f>
        <v/>
      </c>
      <c r="D13" s="41">
        <f>Top_5_Risks!B19</f>
        <v/>
      </c>
      <c r="E13" s="39">
        <f>Top_5_Risks!D19</f>
        <v/>
      </c>
      <c r="F13" s="42">
        <f>Top_5_Risks!B20</f>
        <v/>
      </c>
    </row>
    <row r="14">
      <c r="A14" s="39" t="n">
        <v>3</v>
      </c>
      <c r="B14" s="40">
        <f>Top_5_Risks!B27</f>
        <v/>
      </c>
      <c r="C14" s="39">
        <f>Top_5_Risks!B28</f>
        <v/>
      </c>
      <c r="D14" s="41">
        <f>Top_5_Risks!B29</f>
        <v/>
      </c>
      <c r="E14" s="39">
        <f>Top_5_Risks!D29</f>
        <v/>
      </c>
      <c r="F14" s="42">
        <f>Top_5_Risks!B30</f>
        <v/>
      </c>
    </row>
    <row r="15">
      <c r="A15" s="39" t="n">
        <v>4</v>
      </c>
      <c r="B15" s="40">
        <f>Top_5_Risks!B37</f>
        <v/>
      </c>
      <c r="C15" s="39">
        <f>Top_5_Risks!B38</f>
        <v/>
      </c>
      <c r="D15" s="41">
        <f>Top_5_Risks!B39</f>
        <v/>
      </c>
      <c r="E15" s="39">
        <f>Top_5_Risks!D39</f>
        <v/>
      </c>
      <c r="F15" s="42">
        <f>Top_5_Risks!B40</f>
        <v/>
      </c>
    </row>
    <row r="16">
      <c r="A16" s="39" t="n">
        <v>5</v>
      </c>
      <c r="B16" s="40">
        <f>Top_5_Risks!B47</f>
        <v/>
      </c>
      <c r="C16" s="39">
        <f>Top_5_Risks!B48</f>
        <v/>
      </c>
      <c r="D16" s="41">
        <f>Top_5_Risks!B49</f>
        <v/>
      </c>
      <c r="E16" s="39">
        <f>Top_5_Risks!D49</f>
        <v/>
      </c>
      <c r="F16" s="42">
        <f>Top_5_Risks!B50</f>
        <v/>
      </c>
    </row>
    <row r="18">
      <c r="A18" s="10" t="inlineStr">
        <is>
          <t>RESERVE FUND REQUIREMENTS</t>
        </is>
      </c>
    </row>
    <row r="19">
      <c r="A19" s="16" t="inlineStr">
        <is>
          <t>Operating Reserve:</t>
        </is>
      </c>
      <c r="B19" s="30">
        <f>Reserve_Funds!B10</f>
        <v/>
      </c>
    </row>
    <row r="20">
      <c r="A20" s="16" t="inlineStr">
        <is>
          <t>CapEx Reserve:</t>
        </is>
      </c>
      <c r="B20" s="30">
        <f>Reserve_Funds!E30</f>
        <v/>
      </c>
    </row>
    <row r="21">
      <c r="A21" s="16" t="inlineStr">
        <is>
          <t>Other Contingency:</t>
        </is>
      </c>
      <c r="B21" s="30">
        <f>SUM(Reserve_Funds!B42:B46)</f>
        <v/>
      </c>
    </row>
    <row r="23">
      <c r="A23" s="6" t="inlineStr">
        <is>
          <t>TOTAL RESERVES REQUIRED:</t>
        </is>
      </c>
      <c r="B23" s="32">
        <f>SUM(B20:B22)</f>
        <v/>
      </c>
    </row>
    <row r="25">
      <c r="A25" s="10" t="inlineStr">
        <is>
          <t>RISK MITIGATION STATUS</t>
        </is>
      </c>
    </row>
    <row r="26">
      <c r="A26" s="16" t="inlineStr">
        <is>
          <t>Total Mitigation Cost:</t>
        </is>
      </c>
      <c r="B26" s="26" t="n"/>
    </row>
    <row r="27">
      <c r="A27" s="16" t="inlineStr">
        <is>
          <t>Mitigation Timeline:</t>
        </is>
      </c>
      <c r="B27" s="15" t="n"/>
    </row>
    <row r="28">
      <c r="A28" s="16" t="inlineStr">
        <is>
          <t>Responsible Parties:</t>
        </is>
      </c>
      <c r="B28" s="15" t="n"/>
    </row>
    <row r="30">
      <c r="A30" s="10" t="inlineStr">
        <is>
          <t>INVESTMENT DECISION FRAMEWORK</t>
        </is>
      </c>
    </row>
    <row r="31">
      <c r="A31" s="16" t="inlineStr">
        <is>
          <t>Are all material risks identified and mitigated?</t>
        </is>
      </c>
      <c r="B31" s="15" t="n"/>
      <c r="C31" s="37" t="n"/>
      <c r="D31" s="37" t="n"/>
      <c r="E31" s="37" t="n"/>
      <c r="F31" s="38" t="n"/>
    </row>
    <row r="32">
      <c r="A32" s="16" t="inlineStr">
        <is>
          <t>Are reserve funds adequate?</t>
        </is>
      </c>
      <c r="B32" s="15" t="n"/>
      <c r="C32" s="37" t="n"/>
      <c r="D32" s="37" t="n"/>
      <c r="E32" s="37" t="n"/>
      <c r="F32" s="38" t="n"/>
    </row>
    <row r="33">
      <c r="A33" s="16" t="inlineStr">
        <is>
          <t>Overall Risk vs. Return Assessment:</t>
        </is>
      </c>
      <c r="B33" s="15" t="n"/>
      <c r="C33" s="37" t="n"/>
      <c r="D33" s="37" t="n"/>
      <c r="E33" s="37" t="n"/>
      <c r="F33" s="38" t="n"/>
    </row>
    <row r="35">
      <c r="A35" s="25" t="inlineStr">
        <is>
          <t>PROCEED WITH INVESTMENT?</t>
        </is>
      </c>
      <c r="B35" s="36" t="n"/>
      <c r="C35" s="37" t="n"/>
      <c r="D35" s="37" t="n"/>
      <c r="E35" s="37" t="n"/>
      <c r="F35" s="38" t="n"/>
    </row>
    <row r="36" ht="80" customHeight="1">
      <c r="A36" s="16" t="inlineStr">
        <is>
          <t>Supporting Rationale:</t>
        </is>
      </c>
      <c r="B36" s="19" t="n"/>
    </row>
    <row r="39" ht="60" customHeight="1">
      <c r="A39" s="9" t="inlineStr">
        <is>
          <t>Additional Notes / Concerns:</t>
        </is>
      </c>
      <c r="B39" s="19" t="n"/>
    </row>
  </sheetData>
  <mergeCells count="17">
    <mergeCell ref="A10:F10"/>
    <mergeCell ref="B39:F39"/>
    <mergeCell ref="B33:F33"/>
    <mergeCell ref="A1:F1"/>
    <mergeCell ref="B28:F28"/>
    <mergeCell ref="B3:F3"/>
    <mergeCell ref="B31:F31"/>
    <mergeCell ref="A18:F18"/>
    <mergeCell ref="B36:F36"/>
    <mergeCell ref="B8:F8"/>
    <mergeCell ref="B32:F32"/>
    <mergeCell ref="A30:F30"/>
    <mergeCell ref="B26:F26"/>
    <mergeCell ref="B27:F27"/>
    <mergeCell ref="A7:F7"/>
    <mergeCell ref="A25:F25"/>
    <mergeCell ref="B35:F35"/>
  </mergeCells>
  <dataValidations count="5">
    <dataValidation sqref="B8" showDropDown="0" showInputMessage="0" showErrorMessage="0" allowBlank="0" type="list">
      <formula1>"Low Risk,Low-Moderate Risk,Moderate Risk,Moderate-High Risk,High Risk,Very High Risk"</formula1>
    </dataValidation>
    <dataValidation sqref="B31" showDropDown="0" showInputMessage="0" showErrorMessage="0" allowBlank="0" type="list">
      <formula1>"Yes - All Major Risks Addressed,Mostly - Minor Gaps Remain,Partially - Significant Risks Unmitigated,No - Critical Risks Unaddressed"</formula1>
    </dataValidation>
    <dataValidation sqref="B32" showDropDown="0" showInputMessage="0" showErrorMessage="0" allowBlank="0" type="list">
      <formula1>"Yes - 6+ Months Operating + CapEx,Adequate - 3-6 Months Coverage,Marginal - Less than 3 Months,Insufficient - Minimal Reserves"</formula1>
    </dataValidation>
    <dataValidation sqref="B33" showDropDown="0" showInputMessage="0" showErrorMessage="0" allowBlank="0" type="list">
      <formula1>"Excellent - Low Risk, Strong Returns,Good - Moderate Risk, Solid Returns,Fair - Balanced Risk/Return,Poor - High Risk vs Expected Returns,Unacceptable - Risk Exceeds Return Potential"</formula1>
    </dataValidation>
    <dataValidation sqref="B35" showDropDown="0" showInputMessage="0" showErrorMessage="0" allowBlank="0" type="list">
      <formula1>"Yes - Proceed with Confidence,Yes - With Conditions,Maybe - Needs More Analysis,No - Pass,No - Reject"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5" customWidth="1" min="4" max="4"/>
    <col width="40" customWidth="1" min="5" max="5"/>
  </cols>
  <sheetData>
    <row r="1" ht="25" customHeight="1">
      <c r="A1" s="8" t="inlineStr">
        <is>
          <t>INVESTMENT RISK IDENTIFICATION CHECKLIST</t>
        </is>
      </c>
    </row>
    <row r="2">
      <c r="A2" s="9" t="inlineStr">
        <is>
          <t>Check all risks that apply to your investment. This helps ensure you don't miss important risks.</t>
        </is>
      </c>
    </row>
    <row r="4">
      <c r="A4" s="10" t="inlineStr">
        <is>
          <t>1. MARKET RISKS</t>
        </is>
      </c>
    </row>
    <row r="5">
      <c r="A5" s="11" t="inlineStr">
        <is>
          <t>Risk</t>
        </is>
      </c>
      <c r="B5" s="12" t="inlineStr">
        <is>
          <t>Applies?</t>
        </is>
      </c>
      <c r="C5" s="12" t="inlineStr">
        <is>
          <t>Level</t>
        </is>
      </c>
      <c r="D5" s="12" t="inlineStr">
        <is>
          <t>Priority</t>
        </is>
      </c>
      <c r="E5" s="11" t="inlineStr">
        <is>
          <t>Notes</t>
        </is>
      </c>
    </row>
    <row r="6">
      <c r="A6" s="13" t="inlineStr">
        <is>
          <t>Rental rate decline</t>
        </is>
      </c>
      <c r="B6" s="14" t="n"/>
      <c r="C6" s="14" t="n"/>
      <c r="D6" s="14" t="n"/>
      <c r="E6" s="15" t="n"/>
    </row>
    <row r="7">
      <c r="A7" s="13" t="inlineStr">
        <is>
          <t>Increased vacancy rates</t>
        </is>
      </c>
      <c r="B7" s="14" t="n"/>
      <c r="C7" s="14" t="n"/>
      <c r="D7" s="14" t="n"/>
      <c r="E7" s="15" t="n"/>
    </row>
    <row r="8">
      <c r="A8" s="13" t="inlineStr">
        <is>
          <t>Market oversupply (new construction)</t>
        </is>
      </c>
      <c r="B8" s="14" t="n"/>
      <c r="C8" s="14" t="n"/>
      <c r="D8" s="14" t="n"/>
      <c r="E8" s="15" t="n"/>
    </row>
    <row r="9">
      <c r="A9" s="13" t="inlineStr">
        <is>
          <t>Economic recession / job losses</t>
        </is>
      </c>
      <c r="B9" s="14" t="n"/>
      <c r="C9" s="14" t="n"/>
      <c r="D9" s="14" t="n"/>
      <c r="E9" s="15" t="n"/>
    </row>
    <row r="10">
      <c r="A10" s="13" t="inlineStr">
        <is>
          <t>Population decline / out-migration</t>
        </is>
      </c>
      <c r="B10" s="14" t="n"/>
      <c r="C10" s="14" t="n"/>
      <c r="D10" s="14" t="n"/>
      <c r="E10" s="15" t="n"/>
    </row>
    <row r="11">
      <c r="A11" s="13" t="inlineStr">
        <is>
          <t>Neighborhood deterioration</t>
        </is>
      </c>
      <c r="B11" s="14" t="n"/>
      <c r="C11" s="14" t="n"/>
      <c r="D11" s="14" t="n"/>
      <c r="E11" s="15" t="n"/>
    </row>
    <row r="12">
      <c r="A12" s="13" t="inlineStr">
        <is>
          <t>Competing properties offering concessions</t>
        </is>
      </c>
      <c r="B12" s="14" t="n"/>
      <c r="C12" s="14" t="n"/>
      <c r="D12" s="14" t="n"/>
      <c r="E12" s="15" t="n"/>
    </row>
    <row r="13">
      <c r="A13" s="13" t="inlineStr">
        <is>
          <t>Changing tenant demographics</t>
        </is>
      </c>
      <c r="B13" s="14" t="n"/>
      <c r="C13" s="14" t="n"/>
      <c r="D13" s="14" t="n"/>
      <c r="E13" s="15" t="n"/>
    </row>
    <row r="15">
      <c r="A15" s="10" t="inlineStr">
        <is>
          <t>2. FINANCIAL RISKS</t>
        </is>
      </c>
    </row>
    <row r="16">
      <c r="A16" s="11" t="inlineStr">
        <is>
          <t>Risk</t>
        </is>
      </c>
      <c r="B16" s="12" t="inlineStr">
        <is>
          <t>Applies?</t>
        </is>
      </c>
      <c r="C16" s="12" t="inlineStr">
        <is>
          <t>Level</t>
        </is>
      </c>
      <c r="D16" s="12" t="inlineStr">
        <is>
          <t>Priority</t>
        </is>
      </c>
      <c r="E16" s="11" t="inlineStr">
        <is>
          <t>Notes</t>
        </is>
      </c>
    </row>
    <row r="17">
      <c r="A17" s="13" t="inlineStr">
        <is>
          <t>Interest rate increases</t>
        </is>
      </c>
      <c r="B17" s="14" t="n"/>
      <c r="C17" s="14" t="n"/>
      <c r="D17" s="14" t="n"/>
      <c r="E17" s="15" t="n"/>
    </row>
    <row r="18">
      <c r="A18" s="13" t="inlineStr">
        <is>
          <t>Difficulty refinancing at maturity</t>
        </is>
      </c>
      <c r="B18" s="14" t="n"/>
      <c r="C18" s="14" t="n"/>
      <c r="D18" s="14" t="n"/>
      <c r="E18" s="15" t="n"/>
    </row>
    <row r="19">
      <c r="A19" s="13" t="inlineStr">
        <is>
          <t>Operating cost increases (taxes, insurance, utilities)</t>
        </is>
      </c>
      <c r="B19" s="14" t="n"/>
      <c r="C19" s="14" t="n"/>
      <c r="D19" s="14" t="n"/>
      <c r="E19" s="15" t="n"/>
    </row>
    <row r="20">
      <c r="A20" s="13" t="inlineStr">
        <is>
          <t>Revenue shortfall vs projections</t>
        </is>
      </c>
      <c r="B20" s="14" t="n"/>
      <c r="C20" s="14" t="n"/>
      <c r="D20" s="14" t="n"/>
      <c r="E20" s="15" t="n"/>
    </row>
    <row r="21">
      <c r="A21" s="13" t="inlineStr">
        <is>
          <t>Construction cost overruns</t>
        </is>
      </c>
      <c r="B21" s="14" t="n"/>
      <c r="C21" s="14" t="n"/>
      <c r="D21" s="14" t="n"/>
      <c r="E21" s="15" t="n"/>
    </row>
    <row r="22">
      <c r="A22" s="13" t="inlineStr">
        <is>
          <t>CapEx needs exceed reserves</t>
        </is>
      </c>
      <c r="B22" s="14" t="n"/>
      <c r="C22" s="14" t="n"/>
      <c r="D22" s="14" t="n"/>
      <c r="E22" s="15" t="n"/>
    </row>
    <row r="23">
      <c r="A23" s="13" t="inlineStr">
        <is>
          <t>Difficulty raising additional capital if needed</t>
        </is>
      </c>
      <c r="B23" s="14" t="n"/>
      <c r="C23" s="14" t="n"/>
      <c r="D23" s="14" t="n"/>
      <c r="E23" s="15" t="n"/>
    </row>
    <row r="24">
      <c r="A24" s="13" t="inlineStr">
        <is>
          <t>Cash flow insufficient for debt service</t>
        </is>
      </c>
      <c r="B24" s="14" t="n"/>
      <c r="C24" s="14" t="n"/>
      <c r="D24" s="14" t="n"/>
      <c r="E24" s="15" t="n"/>
    </row>
    <row r="26">
      <c r="A26" s="10" t="inlineStr">
        <is>
          <t>3. OPERATIONAL RISKS</t>
        </is>
      </c>
    </row>
    <row r="27">
      <c r="A27" s="11" t="inlineStr">
        <is>
          <t>Risk</t>
        </is>
      </c>
      <c r="B27" s="12" t="inlineStr">
        <is>
          <t>Applies?</t>
        </is>
      </c>
      <c r="C27" s="12" t="inlineStr">
        <is>
          <t>Level</t>
        </is>
      </c>
      <c r="D27" s="12" t="inlineStr">
        <is>
          <t>Priority</t>
        </is>
      </c>
      <c r="E27" s="11" t="inlineStr">
        <is>
          <t>Notes</t>
        </is>
      </c>
    </row>
    <row r="28">
      <c r="A28" s="13" t="inlineStr">
        <is>
          <t>Property management performance issues</t>
        </is>
      </c>
      <c r="B28" s="14" t="n"/>
      <c r="C28" s="14" t="n"/>
      <c r="D28" s="14" t="n"/>
      <c r="E28" s="15" t="n"/>
    </row>
    <row r="29">
      <c r="A29" s="13" t="inlineStr">
        <is>
          <t>Key personnel turnover</t>
        </is>
      </c>
      <c r="B29" s="14" t="n"/>
      <c r="C29" s="14" t="n"/>
      <c r="D29" s="14" t="n"/>
      <c r="E29" s="15" t="n"/>
    </row>
    <row r="30">
      <c r="A30" s="13" t="inlineStr">
        <is>
          <t>Deferred maintenance worse than expected</t>
        </is>
      </c>
      <c r="B30" s="14" t="n"/>
      <c r="C30" s="14" t="n"/>
      <c r="D30" s="14" t="n"/>
      <c r="E30" s="15" t="n"/>
    </row>
    <row r="31">
      <c r="A31" s="13" t="inlineStr">
        <is>
          <t>Major system failure (HVAC, roof, etc.)</t>
        </is>
      </c>
      <c r="B31" s="14" t="n"/>
      <c r="C31" s="14" t="n"/>
      <c r="D31" s="14" t="n"/>
      <c r="E31" s="15" t="n"/>
    </row>
    <row r="32">
      <c r="A32" s="13" t="inlineStr">
        <is>
          <t>Tenant disputes / evictions</t>
        </is>
      </c>
      <c r="B32" s="14" t="n"/>
      <c r="C32" s="14" t="n"/>
      <c r="D32" s="14" t="n"/>
      <c r="E32" s="15" t="n"/>
    </row>
    <row r="33">
      <c r="A33" s="13" t="inlineStr">
        <is>
          <t>Extended turnover time between tenants</t>
        </is>
      </c>
      <c r="B33" s="14" t="n"/>
      <c r="C33" s="14" t="n"/>
      <c r="D33" s="14" t="n"/>
      <c r="E33" s="15" t="n"/>
    </row>
    <row r="34">
      <c r="A34" s="13" t="inlineStr">
        <is>
          <t>Higher-than-expected maintenance costs</t>
        </is>
      </c>
      <c r="B34" s="14" t="n"/>
      <c r="C34" s="14" t="n"/>
      <c r="D34" s="14" t="n"/>
      <c r="E34" s="15" t="n"/>
    </row>
    <row r="35">
      <c r="A35" s="13" t="inlineStr">
        <is>
          <t>Vendor performance issues</t>
        </is>
      </c>
      <c r="B35" s="14" t="n"/>
      <c r="C35" s="14" t="n"/>
      <c r="D35" s="14" t="n"/>
      <c r="E35" s="15" t="n"/>
    </row>
    <row r="37">
      <c r="A37" s="10" t="inlineStr">
        <is>
          <t>4. LEGAL &amp; REGULATORY RISKS</t>
        </is>
      </c>
    </row>
    <row r="38">
      <c r="A38" s="11" t="inlineStr">
        <is>
          <t>Risk</t>
        </is>
      </c>
      <c r="B38" s="12" t="inlineStr">
        <is>
          <t>Applies?</t>
        </is>
      </c>
      <c r="C38" s="12" t="inlineStr">
        <is>
          <t>Level</t>
        </is>
      </c>
      <c r="D38" s="12" t="inlineStr">
        <is>
          <t>Priority</t>
        </is>
      </c>
      <c r="E38" s="11" t="inlineStr">
        <is>
          <t>Notes</t>
        </is>
      </c>
    </row>
    <row r="39">
      <c r="A39" s="13" t="inlineStr">
        <is>
          <t>Zoning changes / restrictions</t>
        </is>
      </c>
      <c r="B39" s="14" t="n"/>
      <c r="C39" s="14" t="n"/>
      <c r="D39" s="14" t="n"/>
      <c r="E39" s="15" t="n"/>
    </row>
    <row r="40">
      <c r="A40" s="13" t="inlineStr">
        <is>
          <t>Rent control implementation</t>
        </is>
      </c>
      <c r="B40" s="14" t="n"/>
      <c r="C40" s="14" t="n"/>
      <c r="D40" s="14" t="n"/>
      <c r="E40" s="15" t="n"/>
    </row>
    <row r="41">
      <c r="A41" s="13" t="inlineStr">
        <is>
          <t>Property tax reassessment / increases</t>
        </is>
      </c>
      <c r="B41" s="14" t="n"/>
      <c r="C41" s="14" t="n"/>
      <c r="D41" s="14" t="n"/>
      <c r="E41" s="15" t="n"/>
    </row>
    <row r="42">
      <c r="A42" s="13" t="inlineStr">
        <is>
          <t>Code violations / compliance issues</t>
        </is>
      </c>
      <c r="B42" s="14" t="n"/>
      <c r="C42" s="14" t="n"/>
      <c r="D42" s="14" t="n"/>
      <c r="E42" s="15" t="n"/>
    </row>
    <row r="43">
      <c r="A43" s="13" t="inlineStr">
        <is>
          <t>Title defects / easement issues</t>
        </is>
      </c>
      <c r="B43" s="14" t="n"/>
      <c r="C43" s="14" t="n"/>
      <c r="D43" s="14" t="n"/>
      <c r="E43" s="15" t="n"/>
    </row>
    <row r="44">
      <c r="A44" s="13" t="inlineStr">
        <is>
          <t>Tenant lawsuits</t>
        </is>
      </c>
      <c r="B44" s="14" t="n"/>
      <c r="C44" s="14" t="n"/>
      <c r="D44" s="14" t="n"/>
      <c r="E44" s="15" t="n"/>
    </row>
    <row r="45">
      <c r="A45" s="13" t="inlineStr">
        <is>
          <t>Fair housing violations</t>
        </is>
      </c>
      <c r="B45" s="14" t="n"/>
      <c r="C45" s="14" t="n"/>
      <c r="D45" s="14" t="n"/>
      <c r="E45" s="15" t="n"/>
    </row>
    <row r="46">
      <c r="A46" s="13" t="inlineStr">
        <is>
          <t>Environmental compliance requirements</t>
        </is>
      </c>
      <c r="B46" s="14" t="n"/>
      <c r="C46" s="14" t="n"/>
      <c r="D46" s="14" t="n"/>
      <c r="E46" s="15" t="n"/>
    </row>
    <row r="48">
      <c r="A48" s="10" t="inlineStr">
        <is>
          <t>5. ENVIRONMENTAL RISKS</t>
        </is>
      </c>
    </row>
    <row r="49">
      <c r="A49" s="11" t="inlineStr">
        <is>
          <t>Risk</t>
        </is>
      </c>
      <c r="B49" s="12" t="inlineStr">
        <is>
          <t>Applies?</t>
        </is>
      </c>
      <c r="C49" s="12" t="inlineStr">
        <is>
          <t>Level</t>
        </is>
      </c>
      <c r="D49" s="12" t="inlineStr">
        <is>
          <t>Priority</t>
        </is>
      </c>
      <c r="E49" s="11" t="inlineStr">
        <is>
          <t>Notes</t>
        </is>
      </c>
    </row>
    <row r="50">
      <c r="A50" s="13" t="inlineStr">
        <is>
          <t>Environmental contamination discovery</t>
        </is>
      </c>
      <c r="B50" s="14" t="n"/>
      <c r="C50" s="14" t="n"/>
      <c r="D50" s="14" t="n"/>
      <c r="E50" s="15" t="n"/>
    </row>
    <row r="51">
      <c r="A51" s="13" t="inlineStr">
        <is>
          <t>Flood / natural disaster</t>
        </is>
      </c>
      <c r="B51" s="14" t="n"/>
      <c r="C51" s="14" t="n"/>
      <c r="D51" s="14" t="n"/>
      <c r="E51" s="15" t="n"/>
    </row>
    <row r="52">
      <c r="A52" s="13" t="inlineStr">
        <is>
          <t>Climate change impacts</t>
        </is>
      </c>
      <c r="B52" s="14" t="n"/>
      <c r="C52" s="14" t="n"/>
      <c r="D52" s="14" t="n"/>
      <c r="E52" s="15" t="n"/>
    </row>
    <row r="53">
      <c r="A53" s="13" t="inlineStr">
        <is>
          <t>Water/sewer system issues</t>
        </is>
      </c>
      <c r="B53" s="14" t="n"/>
      <c r="C53" s="14" t="n"/>
      <c r="D53" s="14" t="n"/>
      <c r="E53" s="15" t="n"/>
    </row>
    <row r="54">
      <c r="A54" s="13" t="inlineStr">
        <is>
          <t>Soil/foundation problems</t>
        </is>
      </c>
      <c r="B54" s="14" t="n"/>
      <c r="C54" s="14" t="n"/>
      <c r="D54" s="14" t="n"/>
      <c r="E54" s="15" t="n"/>
    </row>
    <row r="55">
      <c r="A55" s="13" t="inlineStr">
        <is>
          <t>Mold / air quality issues</t>
        </is>
      </c>
      <c r="B55" s="14" t="n"/>
      <c r="C55" s="14" t="n"/>
      <c r="D55" s="14" t="n"/>
      <c r="E55" s="15" t="n"/>
    </row>
    <row r="56">
      <c r="A56" s="13" t="inlineStr">
        <is>
          <t>Pest infestation</t>
        </is>
      </c>
      <c r="B56" s="14" t="n"/>
      <c r="C56" s="14" t="n"/>
      <c r="D56" s="14" t="n"/>
      <c r="E56" s="15" t="n"/>
    </row>
    <row r="57">
      <c r="A57" s="13" t="inlineStr">
        <is>
          <t>Hazardous materials (lead, asbestos)</t>
        </is>
      </c>
      <c r="B57" s="14" t="n"/>
      <c r="C57" s="14" t="n"/>
      <c r="D57" s="14" t="n"/>
      <c r="E57" s="15" t="n"/>
    </row>
    <row r="59">
      <c r="A59" s="10" t="inlineStr">
        <is>
          <t>6. EXIT RISKS</t>
        </is>
      </c>
    </row>
    <row r="60">
      <c r="A60" s="11" t="inlineStr">
        <is>
          <t>Risk</t>
        </is>
      </c>
      <c r="B60" s="12" t="inlineStr">
        <is>
          <t>Applies?</t>
        </is>
      </c>
      <c r="C60" s="12" t="inlineStr">
        <is>
          <t>Level</t>
        </is>
      </c>
      <c r="D60" s="12" t="inlineStr">
        <is>
          <t>Priority</t>
        </is>
      </c>
      <c r="E60" s="11" t="inlineStr">
        <is>
          <t>Notes</t>
        </is>
      </c>
    </row>
    <row r="61">
      <c r="A61" s="13" t="inlineStr">
        <is>
          <t>Difficulty selling property</t>
        </is>
      </c>
      <c r="B61" s="14" t="n"/>
      <c r="C61" s="14" t="n"/>
      <c r="D61" s="14" t="n"/>
      <c r="E61" s="15" t="n"/>
    </row>
    <row r="62">
      <c r="A62" s="13" t="inlineStr">
        <is>
          <t>Lower-than-expected sale price</t>
        </is>
      </c>
      <c r="B62" s="14" t="n"/>
      <c r="C62" s="14" t="n"/>
      <c r="D62" s="14" t="n"/>
      <c r="E62" s="15" t="n"/>
    </row>
    <row r="63">
      <c r="A63" s="13" t="inlineStr">
        <is>
          <t>Market timing challenges</t>
        </is>
      </c>
      <c r="B63" s="14" t="n"/>
      <c r="C63" s="14" t="n"/>
      <c r="D63" s="14" t="n"/>
      <c r="E63" s="15" t="n"/>
    </row>
    <row r="64">
      <c r="A64" s="13" t="inlineStr">
        <is>
          <t>Cap rate expansion (lower valuations)</t>
        </is>
      </c>
      <c r="B64" s="14" t="n"/>
      <c r="C64" s="14" t="n"/>
      <c r="D64" s="14" t="n"/>
      <c r="E64" s="15" t="n"/>
    </row>
    <row r="65">
      <c r="A65" s="13" t="inlineStr">
        <is>
          <t>Limited buyer pool</t>
        </is>
      </c>
      <c r="B65" s="14" t="n"/>
      <c r="C65" s="14" t="n"/>
      <c r="D65" s="14" t="n"/>
      <c r="E65" s="15" t="n"/>
    </row>
    <row r="66">
      <c r="A66" s="13" t="inlineStr">
        <is>
          <t>Extended holding period required</t>
        </is>
      </c>
      <c r="B66" s="14" t="n"/>
      <c r="C66" s="14" t="n"/>
      <c r="D66" s="14" t="n"/>
      <c r="E66" s="15" t="n"/>
    </row>
    <row r="67">
      <c r="A67" s="13" t="inlineStr">
        <is>
          <t>Loss of preferred tax treatment</t>
        </is>
      </c>
      <c r="B67" s="14" t="n"/>
      <c r="C67" s="14" t="n"/>
      <c r="D67" s="14" t="n"/>
      <c r="E67" s="15" t="n"/>
    </row>
    <row r="68">
      <c r="A68" s="13" t="inlineStr">
        <is>
          <t>Forced sale under unfavorable conditions</t>
        </is>
      </c>
      <c r="B68" s="14" t="n"/>
      <c r="C68" s="14" t="n"/>
      <c r="D68" s="14" t="n"/>
      <c r="E68" s="15" t="n"/>
    </row>
  </sheetData>
  <mergeCells count="8">
    <mergeCell ref="A4:E4"/>
    <mergeCell ref="A59:E59"/>
    <mergeCell ref="A48:E48"/>
    <mergeCell ref="A26:E26"/>
    <mergeCell ref="A2:E2"/>
    <mergeCell ref="A15:E15"/>
    <mergeCell ref="A1:E1"/>
    <mergeCell ref="A37:E37"/>
  </mergeCells>
  <dataValidations count="144">
    <dataValidation sqref="B6" showDropDown="0" showInputMessage="0" showErrorMessage="0" allowBlank="1" type="list">
      <formula1>"Yes,No"</formula1>
    </dataValidation>
    <dataValidation sqref="C6" showDropDown="0" showInputMessage="0" showErrorMessage="0" allowBlank="1" type="list">
      <formula1>"High,Medium,Low"</formula1>
    </dataValidation>
    <dataValidation sqref="D6" showDropDown="0" showInputMessage="0" showErrorMessage="0" allowBlank="1" type="list">
      <formula1>"Top 5,Monitor,Low Priority"</formula1>
    </dataValidation>
    <dataValidation sqref="B7" showDropDown="0" showInputMessage="0" showErrorMessage="0" allowBlank="1" type="list">
      <formula1>"Yes,No"</formula1>
    </dataValidation>
    <dataValidation sqref="C7" showDropDown="0" showInputMessage="0" showErrorMessage="0" allowBlank="1" type="list">
      <formula1>"High,Medium,Low"</formula1>
    </dataValidation>
    <dataValidation sqref="D7" showDropDown="0" showInputMessage="0" showErrorMessage="0" allowBlank="1" type="list">
      <formula1>"Top 5,Monitor,Low Priority"</formula1>
    </dataValidation>
    <dataValidation sqref="B8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"High,Medium,Low"</formula1>
    </dataValidation>
    <dataValidation sqref="D8" showDropDown="0" showInputMessage="0" showErrorMessage="0" allowBlank="1" type="list">
      <formula1>"Top 5,Monitor,Low Priority"</formula1>
    </dataValidation>
    <dataValidation sqref="B9" showDropDown="0" showInputMessage="0" showErrorMessage="0" allowBlank="1" type="list">
      <formula1>"Yes,No"</formula1>
    </dataValidation>
    <dataValidation sqref="C9" showDropDown="0" showInputMessage="0" showErrorMessage="0" allowBlank="1" type="list">
      <formula1>"High,Medium,Low"</formula1>
    </dataValidation>
    <dataValidation sqref="D9" showDropDown="0" showInputMessage="0" showErrorMessage="0" allowBlank="1" type="list">
      <formula1>"Top 5,Monitor,Low Priority"</formula1>
    </dataValidation>
    <dataValidation sqref="B10" showDropDown="0" showInputMessage="0" showErrorMessage="0" allowBlank="1" type="list">
      <formula1>"Yes,No"</formula1>
    </dataValidation>
    <dataValidation sqref="C10" showDropDown="0" showInputMessage="0" showErrorMessage="0" allowBlank="1" type="list">
      <formula1>"High,Medium,Low"</formula1>
    </dataValidation>
    <dataValidation sqref="D10" showDropDown="0" showInputMessage="0" showErrorMessage="0" allowBlank="1" type="list">
      <formula1>"Top 5,Monitor,Low Priority"</formula1>
    </dataValidation>
    <dataValidation sqref="B11" showDropDown="0" showInputMessage="0" showErrorMessage="0" allowBlank="1" type="list">
      <formula1>"Yes,No"</formula1>
    </dataValidation>
    <dataValidation sqref="C11" showDropDown="0" showInputMessage="0" showErrorMessage="0" allowBlank="1" type="list">
      <formula1>"High,Medium,Low"</formula1>
    </dataValidation>
    <dataValidation sqref="D11" showDropDown="0" showInputMessage="0" showErrorMessage="0" allowBlank="1" type="list">
      <formula1>"Top 5,Monitor,Low Priority"</formula1>
    </dataValidation>
    <dataValidation sqref="B12" showDropDown="0" showInputMessage="0" showErrorMessage="0" allowBlank="1" type="list">
      <formula1>"Yes,No"</formula1>
    </dataValidation>
    <dataValidation sqref="C12" showDropDown="0" showInputMessage="0" showErrorMessage="0" allowBlank="1" type="list">
      <formula1>"High,Medium,Low"</formula1>
    </dataValidation>
    <dataValidation sqref="D12" showDropDown="0" showInputMessage="0" showErrorMessage="0" allowBlank="1" type="list">
      <formula1>"Top 5,Monitor,Low Priority"</formula1>
    </dataValidation>
    <dataValidation sqref="B13" showDropDown="0" showInputMessage="0" showErrorMessage="0" allowBlank="1" type="list">
      <formula1>"Yes,No"</formula1>
    </dataValidation>
    <dataValidation sqref="C13" showDropDown="0" showInputMessage="0" showErrorMessage="0" allowBlank="1" type="list">
      <formula1>"High,Medium,Low"</formula1>
    </dataValidation>
    <dataValidation sqref="D13" showDropDown="0" showInputMessage="0" showErrorMessage="0" allowBlank="1" type="list">
      <formula1>"Top 5,Monitor,Low Priority"</formula1>
    </dataValidation>
    <dataValidation sqref="B17" showDropDown="0" showInputMessage="0" showErrorMessage="0" allowBlank="1" type="list">
      <formula1>"Yes,No"</formula1>
    </dataValidation>
    <dataValidation sqref="C17" showDropDown="0" showInputMessage="0" showErrorMessage="0" allowBlank="1" type="list">
      <formula1>"High,Medium,Low"</formula1>
    </dataValidation>
    <dataValidation sqref="D17" showDropDown="0" showInputMessage="0" showErrorMessage="0" allowBlank="1" type="list">
      <formula1>"Top 5,Monitor,Low Priority"</formula1>
    </dataValidation>
    <dataValidation sqref="B18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"High,Medium,Low"</formula1>
    </dataValidation>
    <dataValidation sqref="D18" showDropDown="0" showInputMessage="0" showErrorMessage="0" allowBlank="1" type="list">
      <formula1>"Top 5,Monitor,Low Priority"</formula1>
    </dataValidation>
    <dataValidation sqref="B19" showDropDown="0" showInputMessage="0" showErrorMessage="0" allowBlank="1" type="list">
      <formula1>"Yes,No"</formula1>
    </dataValidation>
    <dataValidation sqref="C19" showDropDown="0" showInputMessage="0" showErrorMessage="0" allowBlank="1" type="list">
      <formula1>"High,Medium,Low"</formula1>
    </dataValidation>
    <dataValidation sqref="D19" showDropDown="0" showInputMessage="0" showErrorMessage="0" allowBlank="1" type="list">
      <formula1>"Top 5,Monitor,Low Priority"</formula1>
    </dataValidation>
    <dataValidation sqref="B20" showDropDown="0" showInputMessage="0" showErrorMessage="0" allowBlank="1" type="list">
      <formula1>"Yes,No"</formula1>
    </dataValidation>
    <dataValidation sqref="C20" showDropDown="0" showInputMessage="0" showErrorMessage="0" allowBlank="1" type="list">
      <formula1>"High,Medium,Low"</formula1>
    </dataValidation>
    <dataValidation sqref="D20" showDropDown="0" showInputMessage="0" showErrorMessage="0" allowBlank="1" type="list">
      <formula1>"Top 5,Monitor,Low Priority"</formula1>
    </dataValidation>
    <dataValidation sqref="B21" showDropDown="0" showInputMessage="0" showErrorMessage="0" allowBlank="1" type="list">
      <formula1>"Yes,No"</formula1>
    </dataValidation>
    <dataValidation sqref="C21" showDropDown="0" showInputMessage="0" showErrorMessage="0" allowBlank="1" type="list">
      <formula1>"High,Medium,Low"</formula1>
    </dataValidation>
    <dataValidation sqref="D21" showDropDown="0" showInputMessage="0" showErrorMessage="0" allowBlank="1" type="list">
      <formula1>"Top 5,Monitor,Low Priority"</formula1>
    </dataValidation>
    <dataValidation sqref="B22" showDropDown="0" showInputMessage="0" showErrorMessage="0" allowBlank="1" type="list">
      <formula1>"Yes,No"</formula1>
    </dataValidation>
    <dataValidation sqref="C22" showDropDown="0" showInputMessage="0" showErrorMessage="0" allowBlank="1" type="list">
      <formula1>"High,Medium,Low"</formula1>
    </dataValidation>
    <dataValidation sqref="D22" showDropDown="0" showInputMessage="0" showErrorMessage="0" allowBlank="1" type="list">
      <formula1>"Top 5,Monitor,Low Priority"</formula1>
    </dataValidation>
    <dataValidation sqref="B23" showDropDown="0" showInputMessage="0" showErrorMessage="0" allowBlank="1" type="list">
      <formula1>"Yes,No"</formula1>
    </dataValidation>
    <dataValidation sqref="C23" showDropDown="0" showInputMessage="0" showErrorMessage="0" allowBlank="1" type="list">
      <formula1>"High,Medium,Low"</formula1>
    </dataValidation>
    <dataValidation sqref="D23" showDropDown="0" showInputMessage="0" showErrorMessage="0" allowBlank="1" type="list">
      <formula1>"Top 5,Monitor,Low Priority"</formula1>
    </dataValidation>
    <dataValidation sqref="B24" showDropDown="0" showInputMessage="0" showErrorMessage="0" allowBlank="1" type="list">
      <formula1>"Yes,No"</formula1>
    </dataValidation>
    <dataValidation sqref="C24" showDropDown="0" showInputMessage="0" showErrorMessage="0" allowBlank="1" type="list">
      <formula1>"High,Medium,Low"</formula1>
    </dataValidation>
    <dataValidation sqref="D24" showDropDown="0" showInputMessage="0" showErrorMessage="0" allowBlank="1" type="list">
      <formula1>"Top 5,Monitor,Low Priority"</formula1>
    </dataValidation>
    <dataValidation sqref="B28" showDropDown="0" showInputMessage="0" showErrorMessage="0" allowBlank="1" type="list">
      <formula1>"Yes,No"</formula1>
    </dataValidation>
    <dataValidation sqref="C28" showDropDown="0" showInputMessage="0" showErrorMessage="0" allowBlank="1" type="list">
      <formula1>"High,Medium,Low"</formula1>
    </dataValidation>
    <dataValidation sqref="D28" showDropDown="0" showInputMessage="0" showErrorMessage="0" allowBlank="1" type="list">
      <formula1>"Top 5,Monitor,Low Priority"</formula1>
    </dataValidation>
    <dataValidation sqref="B29" showDropDown="0" showInputMessage="0" showErrorMessage="0" allowBlank="1" type="list">
      <formula1>"Yes,No"</formula1>
    </dataValidation>
    <dataValidation sqref="C29" showDropDown="0" showInputMessage="0" showErrorMessage="0" allowBlank="1" type="list">
      <formula1>"High,Medium,Low"</formula1>
    </dataValidation>
    <dataValidation sqref="D29" showDropDown="0" showInputMessage="0" showErrorMessage="0" allowBlank="1" type="list">
      <formula1>"Top 5,Monitor,Low Priority"</formula1>
    </dataValidation>
    <dataValidation sqref="B30" showDropDown="0" showInputMessage="0" showErrorMessage="0" allowBlank="1" type="list">
      <formula1>"Yes,No"</formula1>
    </dataValidation>
    <dataValidation sqref="C30" showDropDown="0" showInputMessage="0" showErrorMessage="0" allowBlank="1" type="list">
      <formula1>"High,Medium,Low"</formula1>
    </dataValidation>
    <dataValidation sqref="D30" showDropDown="0" showInputMessage="0" showErrorMessage="0" allowBlank="1" type="list">
      <formula1>"Top 5,Monitor,Low Priority"</formula1>
    </dataValidation>
    <dataValidation sqref="B31" showDropDown="0" showInputMessage="0" showErrorMessage="0" allowBlank="1" type="list">
      <formula1>"Yes,No"</formula1>
    </dataValidation>
    <dataValidation sqref="C31" showDropDown="0" showInputMessage="0" showErrorMessage="0" allowBlank="1" type="list">
      <formula1>"High,Medium,Low"</formula1>
    </dataValidation>
    <dataValidation sqref="D31" showDropDown="0" showInputMessage="0" showErrorMessage="0" allowBlank="1" type="list">
      <formula1>"Top 5,Monitor,Low Priority"</formula1>
    </dataValidation>
    <dataValidation sqref="B32" showDropDown="0" showInputMessage="0" showErrorMessage="0" allowBlank="1" type="list">
      <formula1>"Yes,No"</formula1>
    </dataValidation>
    <dataValidation sqref="C32" showDropDown="0" showInputMessage="0" showErrorMessage="0" allowBlank="1" type="list">
      <formula1>"High,Medium,Low"</formula1>
    </dataValidation>
    <dataValidation sqref="D32" showDropDown="0" showInputMessage="0" showErrorMessage="0" allowBlank="1" type="list">
      <formula1>"Top 5,Monitor,Low Priority"</formula1>
    </dataValidation>
    <dataValidation sqref="B33" showDropDown="0" showInputMessage="0" showErrorMessage="0" allowBlank="1" type="list">
      <formula1>"Yes,No"</formula1>
    </dataValidation>
    <dataValidation sqref="C33" showDropDown="0" showInputMessage="0" showErrorMessage="0" allowBlank="1" type="list">
      <formula1>"High,Medium,Low"</formula1>
    </dataValidation>
    <dataValidation sqref="D33" showDropDown="0" showInputMessage="0" showErrorMessage="0" allowBlank="1" type="list">
      <formula1>"Top 5,Monitor,Low Priority"</formula1>
    </dataValidation>
    <dataValidation sqref="B34" showDropDown="0" showInputMessage="0" showErrorMessage="0" allowBlank="1" type="list">
      <formula1>"Yes,No"</formula1>
    </dataValidation>
    <dataValidation sqref="C34" showDropDown="0" showInputMessage="0" showErrorMessage="0" allowBlank="1" type="list">
      <formula1>"High,Medium,Low"</formula1>
    </dataValidation>
    <dataValidation sqref="D34" showDropDown="0" showInputMessage="0" showErrorMessage="0" allowBlank="1" type="list">
      <formula1>"Top 5,Monitor,Low Priority"</formula1>
    </dataValidation>
    <dataValidation sqref="B35" showDropDown="0" showInputMessage="0" showErrorMessage="0" allowBlank="1" type="list">
      <formula1>"Yes,No"</formula1>
    </dataValidation>
    <dataValidation sqref="C35" showDropDown="0" showInputMessage="0" showErrorMessage="0" allowBlank="1" type="list">
      <formula1>"High,Medium,Low"</formula1>
    </dataValidation>
    <dataValidation sqref="D35" showDropDown="0" showInputMessage="0" showErrorMessage="0" allowBlank="1" type="list">
      <formula1>"Top 5,Monitor,Low Priority"</formula1>
    </dataValidation>
    <dataValidation sqref="B39" showDropDown="0" showInputMessage="0" showErrorMessage="0" allowBlank="1" type="list">
      <formula1>"Yes,No"</formula1>
    </dataValidation>
    <dataValidation sqref="C39" showDropDown="0" showInputMessage="0" showErrorMessage="0" allowBlank="1" type="list">
      <formula1>"High,Medium,Low"</formula1>
    </dataValidation>
    <dataValidation sqref="D39" showDropDown="0" showInputMessage="0" showErrorMessage="0" allowBlank="1" type="list">
      <formula1>"Top 5,Monitor,Low Priority"</formula1>
    </dataValidation>
    <dataValidation sqref="B40" showDropDown="0" showInputMessage="0" showErrorMessage="0" allowBlank="1" type="list">
      <formula1>"Yes,No"</formula1>
    </dataValidation>
    <dataValidation sqref="C40" showDropDown="0" showInputMessage="0" showErrorMessage="0" allowBlank="1" type="list">
      <formula1>"High,Medium,Low"</formula1>
    </dataValidation>
    <dataValidation sqref="D40" showDropDown="0" showInputMessage="0" showErrorMessage="0" allowBlank="1" type="list">
      <formula1>"Top 5,Monitor,Low Priority"</formula1>
    </dataValidation>
    <dataValidation sqref="B41" showDropDown="0" showInputMessage="0" showErrorMessage="0" allowBlank="1" type="list">
      <formula1>"Yes,No"</formula1>
    </dataValidation>
    <dataValidation sqref="C41" showDropDown="0" showInputMessage="0" showErrorMessage="0" allowBlank="1" type="list">
      <formula1>"High,Medium,Low"</formula1>
    </dataValidation>
    <dataValidation sqref="D41" showDropDown="0" showInputMessage="0" showErrorMessage="0" allowBlank="1" type="list">
      <formula1>"Top 5,Monitor,Low Priority"</formula1>
    </dataValidation>
    <dataValidation sqref="B42" showDropDown="0" showInputMessage="0" showErrorMessage="0" allowBlank="1" type="list">
      <formula1>"Yes,No"</formula1>
    </dataValidation>
    <dataValidation sqref="C42" showDropDown="0" showInputMessage="0" showErrorMessage="0" allowBlank="1" type="list">
      <formula1>"High,Medium,Low"</formula1>
    </dataValidation>
    <dataValidation sqref="D42" showDropDown="0" showInputMessage="0" showErrorMessage="0" allowBlank="1" type="list">
      <formula1>"Top 5,Monitor,Low Priority"</formula1>
    </dataValidation>
    <dataValidation sqref="B43" showDropDown="0" showInputMessage="0" showErrorMessage="0" allowBlank="1" type="list">
      <formula1>"Yes,No"</formula1>
    </dataValidation>
    <dataValidation sqref="C43" showDropDown="0" showInputMessage="0" showErrorMessage="0" allowBlank="1" type="list">
      <formula1>"High,Medium,Low"</formula1>
    </dataValidation>
    <dataValidation sqref="D43" showDropDown="0" showInputMessage="0" showErrorMessage="0" allowBlank="1" type="list">
      <formula1>"Top 5,Monitor,Low Priority"</formula1>
    </dataValidation>
    <dataValidation sqref="B44" showDropDown="0" showInputMessage="0" showErrorMessage="0" allowBlank="1" type="list">
      <formula1>"Yes,No"</formula1>
    </dataValidation>
    <dataValidation sqref="C44" showDropDown="0" showInputMessage="0" showErrorMessage="0" allowBlank="1" type="list">
      <formula1>"High,Medium,Low"</formula1>
    </dataValidation>
    <dataValidation sqref="D44" showDropDown="0" showInputMessage="0" showErrorMessage="0" allowBlank="1" type="list">
      <formula1>"Top 5,Monitor,Low Priority"</formula1>
    </dataValidation>
    <dataValidation sqref="B45" showDropDown="0" showInputMessage="0" showErrorMessage="0" allowBlank="1" type="list">
      <formula1>"Yes,No"</formula1>
    </dataValidation>
    <dataValidation sqref="C45" showDropDown="0" showInputMessage="0" showErrorMessage="0" allowBlank="1" type="list">
      <formula1>"High,Medium,Low"</formula1>
    </dataValidation>
    <dataValidation sqref="D45" showDropDown="0" showInputMessage="0" showErrorMessage="0" allowBlank="1" type="list">
      <formula1>"Top 5,Monitor,Low Priority"</formula1>
    </dataValidation>
    <dataValidation sqref="B46" showDropDown="0" showInputMessage="0" showErrorMessage="0" allowBlank="1" type="list">
      <formula1>"Yes,No"</formula1>
    </dataValidation>
    <dataValidation sqref="C46" showDropDown="0" showInputMessage="0" showErrorMessage="0" allowBlank="1" type="list">
      <formula1>"High,Medium,Low"</formula1>
    </dataValidation>
    <dataValidation sqref="D46" showDropDown="0" showInputMessage="0" showErrorMessage="0" allowBlank="1" type="list">
      <formula1>"Top 5,Monitor,Low Priority"</formula1>
    </dataValidation>
    <dataValidation sqref="B50" showDropDown="0" showInputMessage="0" showErrorMessage="0" allowBlank="1" type="list">
      <formula1>"Yes,No"</formula1>
    </dataValidation>
    <dataValidation sqref="C50" showDropDown="0" showInputMessage="0" showErrorMessage="0" allowBlank="1" type="list">
      <formula1>"High,Medium,Low"</formula1>
    </dataValidation>
    <dataValidation sqref="D50" showDropDown="0" showInputMessage="0" showErrorMessage="0" allowBlank="1" type="list">
      <formula1>"Top 5,Monitor,Low Priority"</formula1>
    </dataValidation>
    <dataValidation sqref="B51" showDropDown="0" showInputMessage="0" showErrorMessage="0" allowBlank="1" type="list">
      <formula1>"Yes,No"</formula1>
    </dataValidation>
    <dataValidation sqref="C51" showDropDown="0" showInputMessage="0" showErrorMessage="0" allowBlank="1" type="list">
      <formula1>"High,Medium,Low"</formula1>
    </dataValidation>
    <dataValidation sqref="D51" showDropDown="0" showInputMessage="0" showErrorMessage="0" allowBlank="1" type="list">
      <formula1>"Top 5,Monitor,Low Priority"</formula1>
    </dataValidation>
    <dataValidation sqref="B52" showDropDown="0" showInputMessage="0" showErrorMessage="0" allowBlank="1" type="list">
      <formula1>"Yes,No"</formula1>
    </dataValidation>
    <dataValidation sqref="C52" showDropDown="0" showInputMessage="0" showErrorMessage="0" allowBlank="1" type="list">
      <formula1>"High,Medium,Low"</formula1>
    </dataValidation>
    <dataValidation sqref="D52" showDropDown="0" showInputMessage="0" showErrorMessage="0" allowBlank="1" type="list">
      <formula1>"Top 5,Monitor,Low Priority"</formula1>
    </dataValidation>
    <dataValidation sqref="B53" showDropDown="0" showInputMessage="0" showErrorMessage="0" allowBlank="1" type="list">
      <formula1>"Yes,No"</formula1>
    </dataValidation>
    <dataValidation sqref="C53" showDropDown="0" showInputMessage="0" showErrorMessage="0" allowBlank="1" type="list">
      <formula1>"High,Medium,Low"</formula1>
    </dataValidation>
    <dataValidation sqref="D53" showDropDown="0" showInputMessage="0" showErrorMessage="0" allowBlank="1" type="list">
      <formula1>"Top 5,Monitor,Low Priority"</formula1>
    </dataValidation>
    <dataValidation sqref="B54" showDropDown="0" showInputMessage="0" showErrorMessage="0" allowBlank="1" type="list">
      <formula1>"Yes,No"</formula1>
    </dataValidation>
    <dataValidation sqref="C54" showDropDown="0" showInputMessage="0" showErrorMessage="0" allowBlank="1" type="list">
      <formula1>"High,Medium,Low"</formula1>
    </dataValidation>
    <dataValidation sqref="D54" showDropDown="0" showInputMessage="0" showErrorMessage="0" allowBlank="1" type="list">
      <formula1>"Top 5,Monitor,Low Priority"</formula1>
    </dataValidation>
    <dataValidation sqref="B55" showDropDown="0" showInputMessage="0" showErrorMessage="0" allowBlank="1" type="list">
      <formula1>"Yes,No"</formula1>
    </dataValidation>
    <dataValidation sqref="C55" showDropDown="0" showInputMessage="0" showErrorMessage="0" allowBlank="1" type="list">
      <formula1>"High,Medium,Low"</formula1>
    </dataValidation>
    <dataValidation sqref="D55" showDropDown="0" showInputMessage="0" showErrorMessage="0" allowBlank="1" type="list">
      <formula1>"Top 5,Monitor,Low Priority"</formula1>
    </dataValidation>
    <dataValidation sqref="B56" showDropDown="0" showInputMessage="0" showErrorMessage="0" allowBlank="1" type="list">
      <formula1>"Yes,No"</formula1>
    </dataValidation>
    <dataValidation sqref="C56" showDropDown="0" showInputMessage="0" showErrorMessage="0" allowBlank="1" type="list">
      <formula1>"High,Medium,Low"</formula1>
    </dataValidation>
    <dataValidation sqref="D56" showDropDown="0" showInputMessage="0" showErrorMessage="0" allowBlank="1" type="list">
      <formula1>"Top 5,Monitor,Low Priority"</formula1>
    </dataValidation>
    <dataValidation sqref="B57" showDropDown="0" showInputMessage="0" showErrorMessage="0" allowBlank="1" type="list">
      <formula1>"Yes,No"</formula1>
    </dataValidation>
    <dataValidation sqref="C57" showDropDown="0" showInputMessage="0" showErrorMessage="0" allowBlank="1" type="list">
      <formula1>"High,Medium,Low"</formula1>
    </dataValidation>
    <dataValidation sqref="D57" showDropDown="0" showInputMessage="0" showErrorMessage="0" allowBlank="1" type="list">
      <formula1>"Top 5,Monitor,Low Priority"</formula1>
    </dataValidation>
    <dataValidation sqref="B61" showDropDown="0" showInputMessage="0" showErrorMessage="0" allowBlank="1" type="list">
      <formula1>"Yes,No"</formula1>
    </dataValidation>
    <dataValidation sqref="C61" showDropDown="0" showInputMessage="0" showErrorMessage="0" allowBlank="1" type="list">
      <formula1>"High,Medium,Low"</formula1>
    </dataValidation>
    <dataValidation sqref="D61" showDropDown="0" showInputMessage="0" showErrorMessage="0" allowBlank="1" type="list">
      <formula1>"Top 5,Monitor,Low Priority"</formula1>
    </dataValidation>
    <dataValidation sqref="B62" showDropDown="0" showInputMessage="0" showErrorMessage="0" allowBlank="1" type="list">
      <formula1>"Yes,No"</formula1>
    </dataValidation>
    <dataValidation sqref="C62" showDropDown="0" showInputMessage="0" showErrorMessage="0" allowBlank="1" type="list">
      <formula1>"High,Medium,Low"</formula1>
    </dataValidation>
    <dataValidation sqref="D62" showDropDown="0" showInputMessage="0" showErrorMessage="0" allowBlank="1" type="list">
      <formula1>"Top 5,Monitor,Low Priority"</formula1>
    </dataValidation>
    <dataValidation sqref="B63" showDropDown="0" showInputMessage="0" showErrorMessage="0" allowBlank="1" type="list">
      <formula1>"Yes,No"</formula1>
    </dataValidation>
    <dataValidation sqref="C63" showDropDown="0" showInputMessage="0" showErrorMessage="0" allowBlank="1" type="list">
      <formula1>"High,Medium,Low"</formula1>
    </dataValidation>
    <dataValidation sqref="D63" showDropDown="0" showInputMessage="0" showErrorMessage="0" allowBlank="1" type="list">
      <formula1>"Top 5,Monitor,Low Priority"</formula1>
    </dataValidation>
    <dataValidation sqref="B64" showDropDown="0" showInputMessage="0" showErrorMessage="0" allowBlank="1" type="list">
      <formula1>"Yes,No"</formula1>
    </dataValidation>
    <dataValidation sqref="C64" showDropDown="0" showInputMessage="0" showErrorMessage="0" allowBlank="1" type="list">
      <formula1>"High,Medium,Low"</formula1>
    </dataValidation>
    <dataValidation sqref="D64" showDropDown="0" showInputMessage="0" showErrorMessage="0" allowBlank="1" type="list">
      <formula1>"Top 5,Monitor,Low Priority"</formula1>
    </dataValidation>
    <dataValidation sqref="B65" showDropDown="0" showInputMessage="0" showErrorMessage="0" allowBlank="1" type="list">
      <formula1>"Yes,No"</formula1>
    </dataValidation>
    <dataValidation sqref="C65" showDropDown="0" showInputMessage="0" showErrorMessage="0" allowBlank="1" type="list">
      <formula1>"High,Medium,Low"</formula1>
    </dataValidation>
    <dataValidation sqref="D65" showDropDown="0" showInputMessage="0" showErrorMessage="0" allowBlank="1" type="list">
      <formula1>"Top 5,Monitor,Low Priority"</formula1>
    </dataValidation>
    <dataValidation sqref="B66" showDropDown="0" showInputMessage="0" showErrorMessage="0" allowBlank="1" type="list">
      <formula1>"Yes,No"</formula1>
    </dataValidation>
    <dataValidation sqref="C66" showDropDown="0" showInputMessage="0" showErrorMessage="0" allowBlank="1" type="list">
      <formula1>"High,Medium,Low"</formula1>
    </dataValidation>
    <dataValidation sqref="D66" showDropDown="0" showInputMessage="0" showErrorMessage="0" allowBlank="1" type="list">
      <formula1>"Top 5,Monitor,Low Priority"</formula1>
    </dataValidation>
    <dataValidation sqref="B67" showDropDown="0" showInputMessage="0" showErrorMessage="0" allowBlank="1" type="list">
      <formula1>"Yes,No"</formula1>
    </dataValidation>
    <dataValidation sqref="C67" showDropDown="0" showInputMessage="0" showErrorMessage="0" allowBlank="1" type="list">
      <formula1>"High,Medium,Low"</formula1>
    </dataValidation>
    <dataValidation sqref="D67" showDropDown="0" showInputMessage="0" showErrorMessage="0" allowBlank="1" type="list">
      <formula1>"Top 5,Monitor,Low Priority"</formula1>
    </dataValidation>
    <dataValidation sqref="B68" showDropDown="0" showInputMessage="0" showErrorMessage="0" allowBlank="1" type="list">
      <formula1>"Yes,No"</formula1>
    </dataValidation>
    <dataValidation sqref="C68" showDropDown="0" showInputMessage="0" showErrorMessage="0" allowBlank="1" type="list">
      <formula1>"High,Medium,Low"</formula1>
    </dataValidation>
    <dataValidation sqref="D68" showDropDown="0" showInputMessage="0" showErrorMessage="0" allowBlank="1" type="list">
      <formula1>"Top 5,Monitor,Low Priority"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8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8" t="inlineStr">
        <is>
          <t>TOP 5 INVESTMENT RISKS - DETAILED ANALYSIS</t>
        </is>
      </c>
    </row>
    <row r="2">
      <c r="A2" s="9" t="inlineStr">
        <is>
          <t>Complete detailed analysis for your TOP 5 highest-priority risks. Rank from #1 (highest) to #5.</t>
        </is>
      </c>
    </row>
    <row r="3">
      <c r="A3" s="16" t="inlineStr">
        <is>
          <t>Property Address:</t>
        </is>
      </c>
      <c r="B3" s="17" t="n"/>
    </row>
    <row r="5">
      <c r="A5" s="18" t="inlineStr">
        <is>
          <t>RISK #1</t>
        </is>
      </c>
    </row>
    <row r="6" ht="40" customHeight="1">
      <c r="A6" s="16" t="inlineStr">
        <is>
          <t>Risk Description:</t>
        </is>
      </c>
      <c r="B6" s="19" t="n"/>
    </row>
    <row r="7">
      <c r="A7" s="16" t="inlineStr">
        <is>
          <t>Risk Category:</t>
        </is>
      </c>
      <c r="B7" s="17" t="n"/>
    </row>
    <row r="8">
      <c r="A8" s="16" t="inlineStr">
        <is>
          <t>Probability:</t>
        </is>
      </c>
      <c r="B8" s="20" t="n"/>
      <c r="C8" s="16" t="inlineStr">
        <is>
          <t>Impact Level:</t>
        </is>
      </c>
      <c r="D8" s="17" t="n"/>
      <c r="E8" s="16" t="inlineStr">
        <is>
          <t>Financial Impact:</t>
        </is>
      </c>
      <c r="F8" s="21" t="n"/>
    </row>
    <row r="9">
      <c r="A9" s="16" t="inlineStr">
        <is>
          <t>Risk Score:</t>
        </is>
      </c>
      <c r="B9" s="22">
        <f>IF(D8="Critical",4,IF(D8="High",3,IF(D8="Medium",2,1)))*B8/100</f>
        <v/>
      </c>
      <c r="C9" s="23" t="inlineStr">
        <is>
          <t>(Scale: 0-4, auto-calculated)</t>
        </is>
      </c>
    </row>
    <row r="10" ht="50" customHeight="1">
      <c r="A10" s="16" t="inlineStr">
        <is>
          <t>Supporting Data/Evidence:</t>
        </is>
      </c>
      <c r="B10" s="19" t="n"/>
    </row>
    <row r="11" ht="60" customHeight="1">
      <c r="A11" s="16" t="inlineStr">
        <is>
          <t>Mitigation Strategy:</t>
        </is>
      </c>
      <c r="B11" s="19" t="n"/>
    </row>
    <row r="12">
      <c r="A12" s="16" t="inlineStr">
        <is>
          <t>Cost to Mitigate:</t>
        </is>
      </c>
      <c r="B12" s="21" t="n"/>
      <c r="C12" s="16" t="inlineStr">
        <is>
          <t>Timeline:</t>
        </is>
      </c>
      <c r="D12" s="17" t="n"/>
      <c r="E12" s="16" t="inlineStr">
        <is>
          <t>Responsible Party:</t>
        </is>
      </c>
      <c r="F12" s="17" t="n"/>
    </row>
    <row r="13">
      <c r="A13" s="16" t="inlineStr">
        <is>
          <t>Residual Risk After Mitigation:</t>
        </is>
      </c>
      <c r="B13" s="17" t="n"/>
    </row>
    <row r="15">
      <c r="A15" s="24" t="inlineStr">
        <is>
          <t>RISK #2</t>
        </is>
      </c>
    </row>
    <row r="16" ht="40" customHeight="1">
      <c r="A16" s="16" t="inlineStr">
        <is>
          <t>Risk Description:</t>
        </is>
      </c>
      <c r="B16" s="19" t="n"/>
    </row>
    <row r="17">
      <c r="A17" s="16" t="inlineStr">
        <is>
          <t>Risk Category:</t>
        </is>
      </c>
      <c r="B17" s="17" t="n"/>
    </row>
    <row r="18">
      <c r="A18" s="16" t="inlineStr">
        <is>
          <t>Probability:</t>
        </is>
      </c>
      <c r="B18" s="20" t="n"/>
      <c r="C18" s="16" t="inlineStr">
        <is>
          <t>Impact Level:</t>
        </is>
      </c>
      <c r="D18" s="17" t="n"/>
      <c r="E18" s="16" t="inlineStr">
        <is>
          <t>Financial Impact:</t>
        </is>
      </c>
      <c r="F18" s="21" t="n"/>
    </row>
    <row r="19">
      <c r="A19" s="16" t="inlineStr">
        <is>
          <t>Risk Score:</t>
        </is>
      </c>
      <c r="B19" s="22">
        <f>IF(D18="Critical",4,IF(D18="High",3,IF(D18="Medium",2,1)))*B18/100</f>
        <v/>
      </c>
      <c r="C19" s="23" t="inlineStr">
        <is>
          <t>(Scale: 0-4, auto-calculated)</t>
        </is>
      </c>
    </row>
    <row r="20" ht="50" customHeight="1">
      <c r="A20" s="16" t="inlineStr">
        <is>
          <t>Supporting Data/Evidence:</t>
        </is>
      </c>
      <c r="B20" s="19" t="n"/>
    </row>
    <row r="21" ht="60" customHeight="1">
      <c r="A21" s="16" t="inlineStr">
        <is>
          <t>Mitigation Strategy:</t>
        </is>
      </c>
      <c r="B21" s="19" t="n"/>
    </row>
    <row r="22">
      <c r="A22" s="16" t="inlineStr">
        <is>
          <t>Cost to Mitigate:</t>
        </is>
      </c>
      <c r="B22" s="21" t="n"/>
      <c r="C22" s="16" t="inlineStr">
        <is>
          <t>Timeline:</t>
        </is>
      </c>
      <c r="D22" s="17" t="n"/>
      <c r="E22" s="16" t="inlineStr">
        <is>
          <t>Responsible Party:</t>
        </is>
      </c>
      <c r="F22" s="17" t="n"/>
    </row>
    <row r="23">
      <c r="A23" s="16" t="inlineStr">
        <is>
          <t>Residual Risk After Mitigation:</t>
        </is>
      </c>
      <c r="B23" s="17" t="n"/>
    </row>
    <row r="25">
      <c r="A25" s="24" t="inlineStr">
        <is>
          <t>RISK #3</t>
        </is>
      </c>
    </row>
    <row r="26" ht="40" customHeight="1">
      <c r="A26" s="16" t="inlineStr">
        <is>
          <t>Risk Description:</t>
        </is>
      </c>
      <c r="B26" s="19" t="n"/>
    </row>
    <row r="27">
      <c r="A27" s="16" t="inlineStr">
        <is>
          <t>Risk Category:</t>
        </is>
      </c>
      <c r="B27" s="17" t="n"/>
    </row>
    <row r="28">
      <c r="A28" s="16" t="inlineStr">
        <is>
          <t>Probability:</t>
        </is>
      </c>
      <c r="B28" s="20" t="n"/>
      <c r="C28" s="16" t="inlineStr">
        <is>
          <t>Impact Level:</t>
        </is>
      </c>
      <c r="D28" s="17" t="n"/>
      <c r="E28" s="16" t="inlineStr">
        <is>
          <t>Financial Impact:</t>
        </is>
      </c>
      <c r="F28" s="21" t="n"/>
    </row>
    <row r="29">
      <c r="A29" s="16" t="inlineStr">
        <is>
          <t>Risk Score:</t>
        </is>
      </c>
      <c r="B29" s="22">
        <f>IF(D28="Critical",4,IF(D28="High",3,IF(D28="Medium",2,1)))*B28/100</f>
        <v/>
      </c>
      <c r="C29" s="23" t="inlineStr">
        <is>
          <t>(Scale: 0-4, auto-calculated)</t>
        </is>
      </c>
    </row>
    <row r="30" ht="50" customHeight="1">
      <c r="A30" s="16" t="inlineStr">
        <is>
          <t>Supporting Data/Evidence:</t>
        </is>
      </c>
      <c r="B30" s="19" t="n"/>
    </row>
    <row r="31" ht="60" customHeight="1">
      <c r="A31" s="16" t="inlineStr">
        <is>
          <t>Mitigation Strategy:</t>
        </is>
      </c>
      <c r="B31" s="19" t="n"/>
    </row>
    <row r="32">
      <c r="A32" s="16" t="inlineStr">
        <is>
          <t>Cost to Mitigate:</t>
        </is>
      </c>
      <c r="B32" s="21" t="n"/>
      <c r="C32" s="16" t="inlineStr">
        <is>
          <t>Timeline:</t>
        </is>
      </c>
      <c r="D32" s="17" t="n"/>
      <c r="E32" s="16" t="inlineStr">
        <is>
          <t>Responsible Party:</t>
        </is>
      </c>
      <c r="F32" s="17" t="n"/>
    </row>
    <row r="33">
      <c r="A33" s="16" t="inlineStr">
        <is>
          <t>Residual Risk After Mitigation:</t>
        </is>
      </c>
      <c r="B33" s="17" t="n"/>
    </row>
    <row r="35">
      <c r="A35" s="25" t="inlineStr">
        <is>
          <t>RISK #4</t>
        </is>
      </c>
    </row>
    <row r="36" ht="40" customHeight="1">
      <c r="A36" s="16" t="inlineStr">
        <is>
          <t>Risk Description:</t>
        </is>
      </c>
      <c r="B36" s="19" t="n"/>
    </row>
    <row r="37">
      <c r="A37" s="16" t="inlineStr">
        <is>
          <t>Risk Category:</t>
        </is>
      </c>
      <c r="B37" s="17" t="n"/>
    </row>
    <row r="38">
      <c r="A38" s="16" t="inlineStr">
        <is>
          <t>Probability:</t>
        </is>
      </c>
      <c r="B38" s="20" t="n"/>
      <c r="C38" s="16" t="inlineStr">
        <is>
          <t>Impact Level:</t>
        </is>
      </c>
      <c r="D38" s="17" t="n"/>
      <c r="E38" s="16" t="inlineStr">
        <is>
          <t>Financial Impact:</t>
        </is>
      </c>
      <c r="F38" s="21" t="n"/>
    </row>
    <row r="39">
      <c r="A39" s="16" t="inlineStr">
        <is>
          <t>Risk Score:</t>
        </is>
      </c>
      <c r="B39" s="22">
        <f>IF(D38="Critical",4,IF(D38="High",3,IF(D38="Medium",2,1)))*B38/100</f>
        <v/>
      </c>
      <c r="C39" s="23" t="inlineStr">
        <is>
          <t>(Scale: 0-4, auto-calculated)</t>
        </is>
      </c>
    </row>
    <row r="40" ht="50" customHeight="1">
      <c r="A40" s="16" t="inlineStr">
        <is>
          <t>Supporting Data/Evidence:</t>
        </is>
      </c>
      <c r="B40" s="19" t="n"/>
    </row>
    <row r="41" ht="60" customHeight="1">
      <c r="A41" s="16" t="inlineStr">
        <is>
          <t>Mitigation Strategy:</t>
        </is>
      </c>
      <c r="B41" s="19" t="n"/>
    </row>
    <row r="42">
      <c r="A42" s="16" t="inlineStr">
        <is>
          <t>Cost to Mitigate:</t>
        </is>
      </c>
      <c r="B42" s="21" t="n"/>
      <c r="C42" s="16" t="inlineStr">
        <is>
          <t>Timeline:</t>
        </is>
      </c>
      <c r="D42" s="17" t="n"/>
      <c r="E42" s="16" t="inlineStr">
        <is>
          <t>Responsible Party:</t>
        </is>
      </c>
      <c r="F42" s="17" t="n"/>
    </row>
    <row r="43">
      <c r="A43" s="16" t="inlineStr">
        <is>
          <t>Residual Risk After Mitigation:</t>
        </is>
      </c>
      <c r="B43" s="17" t="n"/>
    </row>
    <row r="45">
      <c r="A45" s="25" t="inlineStr">
        <is>
          <t>RISK #5</t>
        </is>
      </c>
    </row>
    <row r="46" ht="40" customHeight="1">
      <c r="A46" s="16" t="inlineStr">
        <is>
          <t>Risk Description:</t>
        </is>
      </c>
      <c r="B46" s="19" t="n"/>
    </row>
    <row r="47">
      <c r="A47" s="16" t="inlineStr">
        <is>
          <t>Risk Category:</t>
        </is>
      </c>
      <c r="B47" s="17" t="n"/>
    </row>
    <row r="48">
      <c r="A48" s="16" t="inlineStr">
        <is>
          <t>Probability:</t>
        </is>
      </c>
      <c r="B48" s="20" t="n"/>
      <c r="C48" s="16" t="inlineStr">
        <is>
          <t>Impact Level:</t>
        </is>
      </c>
      <c r="D48" s="17" t="n"/>
      <c r="E48" s="16" t="inlineStr">
        <is>
          <t>Financial Impact:</t>
        </is>
      </c>
      <c r="F48" s="21" t="n"/>
    </row>
    <row r="49">
      <c r="A49" s="16" t="inlineStr">
        <is>
          <t>Risk Score:</t>
        </is>
      </c>
      <c r="B49" s="22">
        <f>IF(D48="Critical",4,IF(D48="High",3,IF(D48="Medium",2,1)))*B48/100</f>
        <v/>
      </c>
      <c r="C49" s="23" t="inlineStr">
        <is>
          <t>(Scale: 0-4, auto-calculated)</t>
        </is>
      </c>
    </row>
    <row r="50" ht="50" customHeight="1">
      <c r="A50" s="16" t="inlineStr">
        <is>
          <t>Supporting Data/Evidence:</t>
        </is>
      </c>
      <c r="B50" s="19" t="n"/>
    </row>
    <row r="51" ht="60" customHeight="1">
      <c r="A51" s="16" t="inlineStr">
        <is>
          <t>Mitigation Strategy:</t>
        </is>
      </c>
      <c r="B51" s="19" t="n"/>
    </row>
    <row r="52">
      <c r="A52" s="16" t="inlineStr">
        <is>
          <t>Cost to Mitigate:</t>
        </is>
      </c>
      <c r="B52" s="21" t="n"/>
      <c r="C52" s="16" t="inlineStr">
        <is>
          <t>Timeline:</t>
        </is>
      </c>
      <c r="D52" s="17" t="n"/>
      <c r="E52" s="16" t="inlineStr">
        <is>
          <t>Responsible Party:</t>
        </is>
      </c>
      <c r="F52" s="17" t="n"/>
    </row>
    <row r="53">
      <c r="A53" s="16" t="inlineStr">
        <is>
          <t>Residual Risk After Mitigation:</t>
        </is>
      </c>
      <c r="B53" s="17" t="n"/>
    </row>
  </sheetData>
  <mergeCells count="23">
    <mergeCell ref="A35:G35"/>
    <mergeCell ref="A5:G5"/>
    <mergeCell ref="B10:G10"/>
    <mergeCell ref="B40:G40"/>
    <mergeCell ref="A15:G15"/>
    <mergeCell ref="B30:G30"/>
    <mergeCell ref="A45:G45"/>
    <mergeCell ref="B6:G6"/>
    <mergeCell ref="B51:G51"/>
    <mergeCell ref="B20:G20"/>
    <mergeCell ref="A1:G1"/>
    <mergeCell ref="B36:G36"/>
    <mergeCell ref="B41:G41"/>
    <mergeCell ref="B50:G50"/>
    <mergeCell ref="B26:G26"/>
    <mergeCell ref="A25:G25"/>
    <mergeCell ref="B3:G3"/>
    <mergeCell ref="B16:G16"/>
    <mergeCell ref="B46:G46"/>
    <mergeCell ref="B31:G31"/>
    <mergeCell ref="A2:G2"/>
    <mergeCell ref="B21:G21"/>
    <mergeCell ref="B11:G11"/>
  </mergeCells>
  <dataValidations count="15">
    <dataValidation sqref="B7" showDropDown="0" showInputMessage="0" showErrorMessage="0" allowBlank="0" type="list">
      <formula1>"Market,Financial,Operational,Legal/Regulatory,Environmental,Exit,Other"</formula1>
    </dataValidation>
    <dataValidation sqref="D8" showDropDown="0" showInputMessage="0" showErrorMessage="0" allowBlank="0" type="list">
      <formula1>"Critical,High,Medium,Low"</formula1>
    </dataValidation>
    <dataValidation sqref="B13" showDropDown="0" showInputMessage="0" showErrorMessage="0" allowBlank="0" type="list">
      <formula1>"Eliminated,Significantly Reduced,Moderately Reduced,Minimally Reduced,Unmitigated"</formula1>
    </dataValidation>
    <dataValidation sqref="B17" showDropDown="0" showInputMessage="0" showErrorMessage="0" allowBlank="0" type="list">
      <formula1>"Market,Financial,Operational,Legal/Regulatory,Environmental,Exit,Other"</formula1>
    </dataValidation>
    <dataValidation sqref="D18" showDropDown="0" showInputMessage="0" showErrorMessage="0" allowBlank="0" type="list">
      <formula1>"Critical,High,Medium,Low"</formula1>
    </dataValidation>
    <dataValidation sqref="B23" showDropDown="0" showInputMessage="0" showErrorMessage="0" allowBlank="0" type="list">
      <formula1>"Eliminated,Significantly Reduced,Moderately Reduced,Minimally Reduced,Unmitigated"</formula1>
    </dataValidation>
    <dataValidation sqref="B27" showDropDown="0" showInputMessage="0" showErrorMessage="0" allowBlank="0" type="list">
      <formula1>"Market,Financial,Operational,Legal/Regulatory,Environmental,Exit,Other"</formula1>
    </dataValidation>
    <dataValidation sqref="D28" showDropDown="0" showInputMessage="0" showErrorMessage="0" allowBlank="0" type="list">
      <formula1>"Critical,High,Medium,Low"</formula1>
    </dataValidation>
    <dataValidation sqref="B33" showDropDown="0" showInputMessage="0" showErrorMessage="0" allowBlank="0" type="list">
      <formula1>"Eliminated,Significantly Reduced,Moderately Reduced,Minimally Reduced,Unmitigated"</formula1>
    </dataValidation>
    <dataValidation sqref="B37" showDropDown="0" showInputMessage="0" showErrorMessage="0" allowBlank="0" type="list">
      <formula1>"Market,Financial,Operational,Legal/Regulatory,Environmental,Exit,Other"</formula1>
    </dataValidation>
    <dataValidation sqref="D38" showDropDown="0" showInputMessage="0" showErrorMessage="0" allowBlank="0" type="list">
      <formula1>"Critical,High,Medium,Low"</formula1>
    </dataValidation>
    <dataValidation sqref="B43" showDropDown="0" showInputMessage="0" showErrorMessage="0" allowBlank="0" type="list">
      <formula1>"Eliminated,Significantly Reduced,Moderately Reduced,Minimally Reduced,Unmitigated"</formula1>
    </dataValidation>
    <dataValidation sqref="B47" showDropDown="0" showInputMessage="0" showErrorMessage="0" allowBlank="0" type="list">
      <formula1>"Market,Financial,Operational,Legal/Regulatory,Environmental,Exit,Other"</formula1>
    </dataValidation>
    <dataValidation sqref="D48" showDropDown="0" showInputMessage="0" showErrorMessage="0" allowBlank="0" type="list">
      <formula1>"Critical,High,Medium,Low"</formula1>
    </dataValidation>
    <dataValidation sqref="B53" showDropDown="0" showInputMessage="0" showErrorMessage="0" allowBlank="0" type="list">
      <formula1>"Eliminated,Significantly Reduced,Moderately Reduced,Minimally Reduced,Unmitigated"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</cols>
  <sheetData>
    <row r="1" ht="25" customHeight="1">
      <c r="A1" s="8" t="inlineStr">
        <is>
          <t>RESERVE FUND ANALYSIS &amp; CALCULATOR</t>
        </is>
      </c>
    </row>
    <row r="2">
      <c r="A2" s="9" t="inlineStr">
        <is>
          <t>Calculate required reserve funds to protect against identified risks. Minimum 6 months operating expenses recommended.</t>
        </is>
      </c>
    </row>
    <row r="4">
      <c r="A4" s="10" t="inlineStr">
        <is>
          <t>A. OPERATING EXPENSE RESERVE</t>
        </is>
      </c>
    </row>
    <row r="5">
      <c r="A5" s="16" t="inlineStr">
        <is>
          <t>Annual Operating Expenses:</t>
        </is>
      </c>
      <c r="B5" s="26" t="n"/>
    </row>
    <row r="6">
      <c r="A6" s="16" t="inlineStr">
        <is>
          <t>Monthly Operating Expenses:</t>
        </is>
      </c>
      <c r="B6" s="27">
        <f>B5/12</f>
        <v/>
      </c>
    </row>
    <row r="8">
      <c r="A8" s="16" t="inlineStr">
        <is>
          <t>Recommended Reserve (months):</t>
        </is>
      </c>
      <c r="B8" s="26" t="n"/>
    </row>
    <row r="9">
      <c r="A9" s="16" t="inlineStr">
        <is>
          <t>Operating Reserve Required:</t>
        </is>
      </c>
      <c r="B9" s="27">
        <f>B6*B9</f>
        <v/>
      </c>
    </row>
    <row r="11">
      <c r="A11" s="10" t="inlineStr">
        <is>
          <t>B. CAPITAL EXPENDITURE RESERVE</t>
        </is>
      </c>
    </row>
    <row r="12">
      <c r="A12" s="28" t="inlineStr">
        <is>
          <t>CapEx Category</t>
        </is>
      </c>
      <c r="B12" s="28" t="inlineStr">
        <is>
          <t>Est. Cost</t>
        </is>
      </c>
      <c r="C12" s="28" t="inlineStr">
        <is>
          <t>Probability</t>
        </is>
      </c>
      <c r="D12" s="28" t="inlineStr">
        <is>
          <t>Year Expected</t>
        </is>
      </c>
      <c r="E12" s="28" t="inlineStr">
        <is>
          <t>Reserve Needed</t>
        </is>
      </c>
    </row>
    <row r="13">
      <c r="A13" s="13" t="inlineStr">
        <is>
          <t>Roof Replacement</t>
        </is>
      </c>
      <c r="B13" s="26" t="n"/>
      <c r="C13" s="29" t="n"/>
      <c r="D13" s="15" t="n"/>
      <c r="E13" s="30">
        <f>B13*C13/100</f>
        <v/>
      </c>
    </row>
    <row r="14">
      <c r="A14" s="13" t="inlineStr">
        <is>
          <t>HVAC System</t>
        </is>
      </c>
      <c r="B14" s="26" t="n"/>
      <c r="C14" s="29" t="n"/>
      <c r="D14" s="15" t="n"/>
      <c r="E14" s="30">
        <f>B14*C14/100</f>
        <v/>
      </c>
    </row>
    <row r="15">
      <c r="A15" s="13" t="inlineStr">
        <is>
          <t>Parking Lot Repaving</t>
        </is>
      </c>
      <c r="B15" s="26" t="n"/>
      <c r="C15" s="29" t="n"/>
      <c r="D15" s="15" t="n"/>
      <c r="E15" s="30">
        <f>B15*C15/100</f>
        <v/>
      </c>
    </row>
    <row r="16">
      <c r="A16" s="13" t="inlineStr">
        <is>
          <t>Exterior Paint/Siding</t>
        </is>
      </c>
      <c r="B16" s="26" t="n"/>
      <c r="C16" s="29" t="n"/>
      <c r="D16" s="15" t="n"/>
      <c r="E16" s="30">
        <f>B16*C16/100</f>
        <v/>
      </c>
    </row>
    <row r="17">
      <c r="A17" s="13" t="inlineStr">
        <is>
          <t>Plumbing/Pipes</t>
        </is>
      </c>
      <c r="B17" s="26" t="n"/>
      <c r="C17" s="29" t="n"/>
      <c r="D17" s="15" t="n"/>
      <c r="E17" s="30">
        <f>B17*C17/100</f>
        <v/>
      </c>
    </row>
    <row r="18">
      <c r="A18" s="13" t="inlineStr">
        <is>
          <t>Windows/Doors</t>
        </is>
      </c>
      <c r="B18" s="26" t="n"/>
      <c r="C18" s="29" t="n"/>
      <c r="D18" s="15" t="n"/>
      <c r="E18" s="30">
        <f>B18*C18/100</f>
        <v/>
      </c>
    </row>
    <row r="19">
      <c r="A19" s="13" t="inlineStr">
        <is>
          <t>Landscaping</t>
        </is>
      </c>
      <c r="B19" s="26" t="n"/>
      <c r="C19" s="29" t="n"/>
      <c r="D19" s="15" t="n"/>
      <c r="E19" s="30">
        <f>B19*C19/100</f>
        <v/>
      </c>
    </row>
    <row r="20">
      <c r="A20" s="13" t="inlineStr">
        <is>
          <t>Other Major Items</t>
        </is>
      </c>
      <c r="B20" s="26" t="n"/>
      <c r="C20" s="29" t="n"/>
      <c r="D20" s="15" t="n"/>
      <c r="E20" s="30">
        <f>B20*C20/100</f>
        <v/>
      </c>
    </row>
    <row r="21">
      <c r="A21" s="31" t="inlineStr">
        <is>
          <t>TOTAL CapEx Reserve Required:</t>
        </is>
      </c>
      <c r="E21" s="27">
        <f>SUM(E13:E20)</f>
        <v/>
      </c>
    </row>
    <row r="23">
      <c r="A23" s="10" t="inlineStr">
        <is>
          <t>C. OTHER CONTINGENCY RESERVES</t>
        </is>
      </c>
    </row>
    <row r="24">
      <c r="A24" s="16" t="inlineStr">
        <is>
          <t>Lease-Up Reserve (if needed):</t>
        </is>
      </c>
      <c r="B24" s="26" t="n"/>
    </row>
    <row r="25">
      <c r="A25" s="16" t="inlineStr">
        <is>
          <t>TI/Concessions Reserve:</t>
        </is>
      </c>
      <c r="B25" s="26" t="n"/>
    </row>
    <row r="26">
      <c r="A26" s="16" t="inlineStr">
        <is>
          <t>Legal/Unexpected Reserve:</t>
        </is>
      </c>
      <c r="B26" s="26" t="n"/>
    </row>
    <row r="27">
      <c r="A27" s="16" t="inlineStr">
        <is>
          <t>Environmental Remediation:</t>
        </is>
      </c>
      <c r="B27" s="26" t="n"/>
    </row>
    <row r="28">
      <c r="A28" s="16" t="inlineStr">
        <is>
          <t>Other Contingencies:</t>
        </is>
      </c>
      <c r="B28" s="26" t="n"/>
    </row>
    <row r="30">
      <c r="A30" s="25" t="inlineStr">
        <is>
          <t>TOTAL RESERVE FUND SUMMARY</t>
        </is>
      </c>
    </row>
    <row r="31">
      <c r="A31" s="16" t="inlineStr">
        <is>
          <t>Operating Reserve:</t>
        </is>
      </c>
      <c r="B31" s="27">
        <f>B10</f>
        <v/>
      </c>
    </row>
    <row r="32">
      <c r="A32" s="16" t="inlineStr">
        <is>
          <t>CapEx Reserve:</t>
        </is>
      </c>
      <c r="B32" s="27">
        <f>E21</f>
        <v/>
      </c>
    </row>
    <row r="33">
      <c r="A33" s="16" t="inlineStr">
        <is>
          <t>Other Contingency Reserves:</t>
        </is>
      </c>
      <c r="B33" s="27">
        <f>SUM(B24:B28)</f>
        <v/>
      </c>
    </row>
    <row r="35">
      <c r="A35" s="6" t="inlineStr">
        <is>
          <t>TOTAL RESERVES REQUIRED:</t>
        </is>
      </c>
      <c r="B35" s="32">
        <f>B31+B32+B33</f>
        <v/>
      </c>
    </row>
  </sheetData>
  <mergeCells count="6">
    <mergeCell ref="A30:E30"/>
    <mergeCell ref="A4:E4"/>
    <mergeCell ref="A2:E2"/>
    <mergeCell ref="A11:E11"/>
    <mergeCell ref="A1:E1"/>
    <mergeCell ref="A23:E2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3A401E8AC9545A3B60AA982249DFA" ma:contentTypeVersion="15" ma:contentTypeDescription="Create a new document." ma:contentTypeScope="" ma:versionID="9944329664fecc5bf4800a3138eb25db">
  <xsd:schema xmlns:xsd="http://www.w3.org/2001/XMLSchema" xmlns:xs="http://www.w3.org/2001/XMLSchema" xmlns:p="http://schemas.microsoft.com/office/2006/metadata/properties" xmlns:ns2="94863469-f559-447e-9623-d05bb9c030e9" xmlns:ns3="8383a29a-9177-4edf-ad15-acb67fc5969f" targetNamespace="http://schemas.microsoft.com/office/2006/metadata/properties" ma:root="true" ma:fieldsID="08d40b44e888d35d034b8d19a282368a" ns2:_="" ns3:_="">
    <xsd:import namespace="94863469-f559-447e-9623-d05bb9c030e9"/>
    <xsd:import namespace="8383a29a-9177-4edf-ad15-acb67fc596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3469-f559-447e-9623-d05bb9c030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0432936-1cb4-4753-a4c4-6bde30cc81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3a29a-9177-4edf-ad15-acb67fc5969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cff5a84-10e1-454a-a5b9-b16b2ed881ef}" ma:internalName="TaxCatchAll" ma:showField="CatchAllData" ma:web="8383a29a-9177-4edf-ad15-acb67fc596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83a29a-9177-4edf-ad15-acb67fc5969f" xsi:nil="true"/>
    <lcf76f155ced4ddcb4097134ff3c332f xmlns="94863469-f559-447e-9623-d05bb9c030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D0913B-2A47-48D5-8D91-A805FB20C8FE}"/>
</file>

<file path=customXml/itemProps2.xml><?xml version="1.0" encoding="utf-8"?>
<ds:datastoreItem xmlns:ds="http://schemas.openxmlformats.org/officeDocument/2006/customXml" ds:itemID="{768BDBC7-213A-414E-AB29-20F5CB47F2C7}"/>
</file>

<file path=customXml/itemProps3.xml><?xml version="1.0" encoding="utf-8"?>
<ds:datastoreItem xmlns:ds="http://schemas.openxmlformats.org/officeDocument/2006/customXml" ds:itemID="{F7300581-A7D7-47F6-A28D-E9504DCF83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2025-12-13T22:31:12Z</dcterms:created>
  <dcterms:modified xsi:type="dcterms:W3CDTF">2025-12-13T22:33:10Z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0x010100C023A401E8AC9545A3B60AA982249DFA</vt:lpwstr>
  </property>
</Properties>
</file>