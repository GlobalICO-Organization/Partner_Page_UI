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perty_Info" sheetId="3" state="visible" r:id="rId3"/>
    <sheet xmlns:r="http://schemas.openxmlformats.org/officeDocument/2006/relationships" name="Actual_Expenses" sheetId="4" state="visible" r:id="rId4"/>
    <sheet xmlns:r="http://schemas.openxmlformats.org/officeDocument/2006/relationships" name="Benchmark_Comparison" sheetId="5" state="visible" r:id="rId5"/>
    <sheet xmlns:r="http://schemas.openxmlformats.org/officeDocument/2006/relationships" name="5_Year_Proje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&quot;%&quot;"/>
    <numFmt numFmtId="166" formatCode="$#.00"/>
    <numFmt numFmtId="167" formatCode="0.0%"/>
  </numFmts>
  <fonts count="2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0070C0"/>
      <sz val="11"/>
    </font>
    <font>
      <i val="1"/>
      <sz val="10"/>
    </font>
    <font>
      <b val="1"/>
      <sz val="10"/>
    </font>
    <font>
      <b val="1"/>
      <color rgb="00FFFFFF"/>
      <sz val="14"/>
    </font>
    <font>
      <b val="1"/>
      <color rgb="000070C0"/>
      <sz val="12"/>
    </font>
    <font>
      <color rgb="0000B050"/>
    </font>
    <font>
      <b val="1"/>
      <color rgb="00FFFFFF"/>
    </font>
    <font>
      <b val="1"/>
      <color rgb="0000B050"/>
      <sz val="11"/>
    </font>
    <font>
      <b val="1"/>
      <color rgb="0000B050"/>
      <sz val="10"/>
    </font>
    <font>
      <b val="1"/>
      <color rgb="0000B050"/>
    </font>
    <font>
      <b val="1"/>
    </font>
    <font>
      <b val="1"/>
      <color rgb="000070C0"/>
      <sz val="10"/>
    </font>
    <font>
      <b val="1"/>
      <color rgb="00FFFFFF"/>
      <sz val="16"/>
    </font>
    <font>
      <b val="1"/>
      <sz val="11"/>
    </font>
    <font>
      <sz val="11"/>
    </font>
    <font>
      <b val="1"/>
      <color rgb="00FF0000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CE6F1"/>
        <bgColor rgb="00DCE6F1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inden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10" fillId="3" borderId="0" pivotButton="0" quotePrefix="0" xfId="0"/>
    <xf numFmtId="0" fontId="0" fillId="4" borderId="1" pivotButton="0" quotePrefix="0" xfId="0"/>
    <xf numFmtId="0" fontId="11" fillId="5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11" fillId="5" borderId="1" pivotButton="0" quotePrefix="0" xfId="0"/>
    <xf numFmtId="0" fontId="12" fillId="2" borderId="1" applyAlignment="1" pivotButton="0" quotePrefix="0" xfId="0">
      <alignment horizontal="center" wrapText="1"/>
    </xf>
    <xf numFmtId="0" fontId="6" fillId="3" borderId="0" pivotButton="0" quotePrefix="0" xfId="0"/>
    <xf numFmtId="0" fontId="5" fillId="0" borderId="1" pivotButton="0" quotePrefix="0" xfId="0"/>
    <xf numFmtId="166" fontId="11" fillId="5" borderId="1" pivotButton="0" quotePrefix="0" xfId="0"/>
    <xf numFmtId="167" fontId="11" fillId="5" borderId="1" pivotButton="0" quotePrefix="0" xfId="0"/>
    <xf numFmtId="164" fontId="13" fillId="6" borderId="1" pivotButton="0" quotePrefix="0" xfId="0"/>
    <xf numFmtId="166" fontId="13" fillId="6" borderId="1" pivotButton="0" quotePrefix="0" xfId="0"/>
    <xf numFmtId="167" fontId="13" fillId="6" borderId="1" pivotButton="0" quotePrefix="0" xfId="0"/>
    <xf numFmtId="167" fontId="14" fillId="5" borderId="0" pivotButton="0" quotePrefix="0" xfId="0"/>
    <xf numFmtId="164" fontId="14" fillId="5" borderId="0" pivotButton="0" quotePrefix="0" xfId="0"/>
    <xf numFmtId="164" fontId="15" fillId="5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2" fillId="2" borderId="1" applyAlignment="1" pivotButton="0" quotePrefix="0" xfId="0">
      <alignment horizontal="center"/>
    </xf>
    <xf numFmtId="0" fontId="0" fillId="0" borderId="1" pivotButton="0" quotePrefix="0" xfId="0"/>
    <xf numFmtId="167" fontId="15" fillId="5" borderId="1" pivotButton="0" quotePrefix="0" xfId="0"/>
    <xf numFmtId="0" fontId="18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164" fontId="13" fillId="5" borderId="0" pivotButton="0" quotePrefix="0" xfId="0"/>
    <xf numFmtId="166" fontId="13" fillId="5" borderId="0" pivotButton="0" quotePrefix="0" xfId="0"/>
    <xf numFmtId="167" fontId="13" fillId="5" borderId="0" pivotButton="0" quotePrefix="0" xfId="0"/>
    <xf numFmtId="0" fontId="0" fillId="4" borderId="0" pivotButton="0" quotePrefix="0" xfId="0"/>
    <xf numFmtId="0" fontId="21" fillId="3" borderId="0" pivotButton="0" quotePrefix="0" xfId="0"/>
    <xf numFmtId="0" fontId="0" fillId="4" borderId="0" applyAlignment="1" pivotButton="0" quotePrefix="0" xfId="0">
      <alignment vertical="top" wrapText="1"/>
    </xf>
    <xf numFmtId="0" fontId="22" fillId="2" borderId="0" pivotButton="0" quotePrefix="0" xfId="0"/>
    <xf numFmtId="0" fontId="0" fillId="6" borderId="0" pivotButton="0" quotePrefix="0" xfId="0"/>
    <xf numFmtId="165" fontId="0" fillId="4" borderId="0" pivotButton="0" quotePrefix="0" xfId="0"/>
    <xf numFmtId="0" fontId="12" fillId="2" borderId="0" pivotButton="0" quotePrefix="0" xfId="0"/>
    <xf numFmtId="0" fontId="12" fillId="2" borderId="0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CAPSERIESX OPERATING EXPENSE ESTIMATOR</t>
        </is>
      </c>
    </row>
    <row r="2">
      <c r="A2" s="2" t="inlineStr">
        <is>
          <t>Detailed OpEx Analysis with Industry Benchmarking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template helps you estimate, analyze, and benchmark operating expenses for your property investment.</t>
        </is>
      </c>
    </row>
    <row r="9">
      <c r="A9" s="5" t="inlineStr">
        <is>
          <t>Accurate OpEx estimation is CRITICAL for realistic NOI projections and investment underwriting.</t>
        </is>
      </c>
    </row>
    <row r="10">
      <c r="A10" s="5" t="inlineStr"/>
    </row>
    <row r="11">
      <c r="A11" s="5" t="inlineStr">
        <is>
          <t>WHAT THIS TEMPLATE INCLUDES:</t>
        </is>
      </c>
    </row>
    <row r="12">
      <c r="A12" s="5" t="inlineStr">
        <is>
          <t>• Complete OpEx Category Breakdown - All major expense categories with detailed line items</t>
        </is>
      </c>
    </row>
    <row r="13">
      <c r="A13" s="5" t="inlineStr">
        <is>
          <t>• Industry Benchmarks - National averages by property type and class</t>
        </is>
      </c>
    </row>
    <row r="14">
      <c r="A14" s="5" t="inlineStr">
        <is>
          <t>• Per Unit &amp; Per SF Analysis - Normalize expenses for comparison</t>
        </is>
      </c>
    </row>
    <row r="15">
      <c r="A15" s="5" t="inlineStr">
        <is>
          <t>• OpEx Ratio Calculator - Compare your expenses to gross income</t>
        </is>
      </c>
    </row>
    <row r="16">
      <c r="A16" s="5" t="inlineStr">
        <is>
          <t>• Variance Analysis - See where you're above/below market averages</t>
        </is>
      </c>
    </row>
    <row r="17">
      <c r="A17" s="5" t="inlineStr">
        <is>
          <t>• 5-Year OpEx Projections - Model expense growth over holding period</t>
        </is>
      </c>
    </row>
    <row r="18">
      <c r="A18" s="5" t="inlineStr">
        <is>
          <t>• Summary Dashboard - Key metrics and red flags</t>
        </is>
      </c>
    </row>
    <row r="19">
      <c r="A19" s="5" t="inlineStr"/>
    </row>
    <row r="20">
      <c r="A20" s="5" t="inlineStr">
        <is>
          <t>HOW TO USE THIS TEMPLATE:</t>
        </is>
      </c>
    </row>
    <row r="21">
      <c r="A21" s="5" t="inlineStr"/>
    </row>
    <row r="22">
      <c r="A22" s="6" t="inlineStr">
        <is>
          <t>STEP 1: Enter property basics (units, SF, property type) in PROPERTY INFO tab</t>
        </is>
      </c>
    </row>
    <row r="23">
      <c r="A23" s="6" t="inlineStr">
        <is>
          <t>STEP 2: Complete ACTUAL EXPENSES tab using seller's operating statements</t>
        </is>
      </c>
    </row>
    <row r="24">
      <c r="A24" s="6" t="inlineStr">
        <is>
          <t>STEP 3: Review BENCHMARK COMPARISON to see how you compare to market</t>
        </is>
      </c>
    </row>
    <row r="25">
      <c r="A25" s="6" t="inlineStr">
        <is>
          <t>STEP 4: Adjust pro forma expenses in PRO FORMA OPEX tab</t>
        </is>
      </c>
    </row>
    <row r="26">
      <c r="A26" s="6" t="inlineStr">
        <is>
          <t>STEP 5: Use 5-YEAR PROJECTIONS to model expense growth</t>
        </is>
      </c>
    </row>
    <row r="27">
      <c r="A27" s="6" t="inlineStr">
        <is>
          <t>STEP 6: Review SUMMARY for overall assessment</t>
        </is>
      </c>
    </row>
    <row r="28">
      <c r="A28" s="5" t="inlineStr"/>
    </row>
    <row r="29">
      <c r="A29" s="6" t="inlineStr">
        <is>
          <t>TIER-SPECIFIC REQUIREMENTS:</t>
        </is>
      </c>
    </row>
    <row r="30">
      <c r="A30" s="5" t="inlineStr">
        <is>
          <t>• BRONZE: Basic OpEx estimate (CapSeriesX validates)</t>
        </is>
      </c>
    </row>
    <row r="31">
      <c r="A31" s="5" t="inlineStr">
        <is>
          <t>• SILVER: Detailed T-12 actual expenses from seller ⭐</t>
        </is>
      </c>
    </row>
    <row r="32">
      <c r="A32" s="5" t="inlineStr">
        <is>
          <t>• GOLD: T-12 actuals + detailed variance analysis vs benchmarks ⭐⭐</t>
        </is>
      </c>
    </row>
    <row r="33">
      <c r="A33" s="5" t="inlineStr">
        <is>
          <t>• PLATINUM: Multi-year historical + vendor contracts + detailed forecast ⭐⭐⭐</t>
        </is>
      </c>
    </row>
    <row r="34">
      <c r="A34" s="5" t="inlineStr"/>
    </row>
    <row r="35">
      <c r="A35" s="6" t="inlineStr">
        <is>
          <t>KEY OPEX CATEGORIES:</t>
        </is>
      </c>
    </row>
    <row r="36">
      <c r="A36" s="7" t="inlineStr">
        <is>
          <t>1. Property Taxes - Based on assessed value, typically 1-2.5% of value</t>
        </is>
      </c>
    </row>
    <row r="37">
      <c r="A37" s="7" t="inlineStr">
        <is>
          <t>2. Insurance - Covers property, liability, loss of rents</t>
        </is>
      </c>
    </row>
    <row r="38">
      <c r="A38" s="7" t="inlineStr">
        <is>
          <t>3. Property Management - Usually 4-10% of Effective Gross Income</t>
        </is>
      </c>
    </row>
    <row r="39">
      <c r="A39" s="7" t="inlineStr">
        <is>
          <t>4. Repairs &amp; Maintenance - Rule of thumb: $500-$1,500 per unit annually</t>
        </is>
      </c>
    </row>
    <row r="40">
      <c r="A40" s="7" t="inlineStr">
        <is>
          <t>5. Utilities - Water, sewer, trash, common area electric/gas</t>
        </is>
      </c>
    </row>
    <row r="41">
      <c r="A41" s="7" t="inlineStr">
        <is>
          <t>6. Landscaping/Grounds - Maintenance, snow removal, irrigation</t>
        </is>
      </c>
    </row>
    <row r="42">
      <c r="A42" s="7" t="inlineStr">
        <is>
          <t>7. Administrative - Office supplies, accounting, legal fees</t>
        </is>
      </c>
    </row>
    <row r="43">
      <c r="A43" s="7" t="inlineStr">
        <is>
          <t>8. Marketing/Leasing - Advertising, broker fees, tenant screening</t>
        </is>
      </c>
    </row>
    <row r="44">
      <c r="A44" s="7" t="inlineStr">
        <is>
          <t>9. Other - HOA fees, pest control, security, etc.</t>
        </is>
      </c>
    </row>
    <row r="45">
      <c r="A45" s="5" t="inlineStr"/>
    </row>
    <row r="46">
      <c r="A46" s="6" t="inlineStr">
        <is>
          <t>INDUSTRY BENCHMARK RANGES:</t>
        </is>
      </c>
    </row>
    <row r="47">
      <c r="A47" s="5" t="inlineStr"/>
    </row>
    <row r="48">
      <c r="A48" s="8" t="inlineStr">
        <is>
          <t>**By Property Type (Annual Per Unit):**</t>
        </is>
      </c>
    </row>
    <row r="49">
      <c r="A49" s="5" t="inlineStr">
        <is>
          <t>• Garden-Style Apartments: $3,000 - $5,000</t>
        </is>
      </c>
    </row>
    <row r="50">
      <c r="A50" s="5" t="inlineStr">
        <is>
          <t>• Mid-Rise Apartments: $4,000 - $6,500</t>
        </is>
      </c>
    </row>
    <row r="51">
      <c r="A51" s="5" t="inlineStr">
        <is>
          <t>• High-Rise Apartments: $5,500 - $8,500</t>
        </is>
      </c>
    </row>
    <row r="52">
      <c r="A52" s="5" t="inlineStr">
        <is>
          <t>• Single Family Rentals: $2,500 - $4,000</t>
        </is>
      </c>
    </row>
    <row r="53">
      <c r="A53" s="5" t="inlineStr"/>
    </row>
    <row r="54">
      <c r="A54" s="8" t="inlineStr">
        <is>
          <t>**OpEx Ratio by Asset Class:**</t>
        </is>
      </c>
    </row>
    <row r="55">
      <c r="A55" s="5" t="inlineStr">
        <is>
          <t>• Class A: 35-45% of EGI</t>
        </is>
      </c>
    </row>
    <row r="56">
      <c r="A56" s="5" t="inlineStr">
        <is>
          <t>• Class B: 40-50% of EGI</t>
        </is>
      </c>
    </row>
    <row r="57">
      <c r="A57" s="5" t="inlineStr">
        <is>
          <t>• Class C: 45-55% of EGI</t>
        </is>
      </c>
    </row>
    <row r="58">
      <c r="A58" s="5" t="inlineStr"/>
    </row>
    <row r="59">
      <c r="A59" s="8" t="inlineStr">
        <is>
          <t>**Target OpEx Ratio: &lt;50% (lower is better)**</t>
        </is>
      </c>
    </row>
    <row r="60">
      <c r="A60" s="5" t="inlineStr"/>
    </row>
    <row r="61">
      <c r="A61" s="6" t="inlineStr">
        <is>
          <t>DATA SOURCES FOR OPEX:</t>
        </is>
      </c>
    </row>
    <row r="62">
      <c r="A62" s="5" t="inlineStr">
        <is>
          <t>✓ Seller's trailing 12-month (T-12) operating statements</t>
        </is>
      </c>
    </row>
    <row r="63">
      <c r="A63" s="5" t="inlineStr">
        <is>
          <t>✓ Property tax bills (county assessor)</t>
        </is>
      </c>
    </row>
    <row r="64">
      <c r="A64" s="5" t="inlineStr">
        <is>
          <t>✓ Insurance quotes (get 3 competitive quotes)</t>
        </is>
      </c>
    </row>
    <row r="65">
      <c r="A65" s="5" t="inlineStr">
        <is>
          <t>✓ Utility bills (12 months)</t>
        </is>
      </c>
    </row>
    <row r="66">
      <c r="A66" s="5" t="inlineStr">
        <is>
          <t>✓ Property management proposals</t>
        </is>
      </c>
    </row>
    <row r="67">
      <c r="A67" s="5" t="inlineStr">
        <is>
          <t>✓ Service contracts (landscaping, HVAC, pest, etc.)</t>
        </is>
      </c>
    </row>
    <row r="68">
      <c r="A68" s="5" t="inlineStr">
        <is>
          <t>✓ HOA/Condo documents (if applicable)</t>
        </is>
      </c>
    </row>
    <row r="69">
      <c r="A69" s="5" t="inlineStr"/>
    </row>
    <row r="70">
      <c r="A70" s="6" t="inlineStr">
        <is>
          <t>COMMON UNDERWRITING MISTAKES:</t>
        </is>
      </c>
    </row>
    <row r="71">
      <c r="A71" s="5" t="inlineStr">
        <is>
          <t>✗ Using seller's pro forma instead of actual expenses</t>
        </is>
      </c>
    </row>
    <row r="72">
      <c r="A72" s="5" t="inlineStr">
        <is>
          <t>✗ Not accounting for deferred maintenance backlog</t>
        </is>
      </c>
    </row>
    <row r="73">
      <c r="A73" s="5" t="inlineStr">
        <is>
          <t>✗ Underestimating property management fees</t>
        </is>
      </c>
    </row>
    <row r="74">
      <c r="A74" s="5" t="inlineStr">
        <is>
          <t>✗ Forgetting about CapEx (this is OpEx only, not CapEx)</t>
        </is>
      </c>
    </row>
    <row r="75">
      <c r="A75" s="5" t="inlineStr">
        <is>
          <t>✗ Not adjusting for property tax reassessment after purchase</t>
        </is>
      </c>
    </row>
    <row r="76">
      <c r="A76" s="5" t="inlineStr">
        <is>
          <t>✗ Assuming seller's low expenses are sustainable</t>
        </is>
      </c>
    </row>
    <row r="77">
      <c r="A77" s="5" t="inlineStr"/>
    </row>
    <row r="78">
      <c r="A78" s="6" t="inlineStr">
        <is>
          <t>OPEX VS CAPEX:</t>
        </is>
      </c>
    </row>
    <row r="79">
      <c r="A79" s="5" t="inlineStr">
        <is>
          <t>• **OpEx (Operating Expenses)**: Day-to-day costs, recurring, expensed annually</t>
        </is>
      </c>
    </row>
    <row r="80">
      <c r="A80" s="5" t="inlineStr">
        <is>
          <t xml:space="preserve">  Examples: Property taxes, insurance, repairs, utilities, management</t>
        </is>
      </c>
    </row>
    <row r="81">
      <c r="A81" s="5" t="inlineStr">
        <is>
          <t>• **CapEx (Capital Expenditures)**: Major improvements, capitalized, depreciated</t>
        </is>
      </c>
    </row>
    <row r="82">
      <c r="A82" s="5" t="inlineStr">
        <is>
          <t xml:space="preserve">  Examples: Roof replacement, HVAC system, parking lot, major renovation</t>
        </is>
      </c>
    </row>
    <row r="83">
      <c r="A83" s="5" t="inlineStr">
        <is>
          <t>• **This template is for OpEx ONLY - use CapEx Planner for capital items**</t>
        </is>
      </c>
    </row>
    <row r="84">
      <c r="A84" s="5" t="inlineStr"/>
    </row>
    <row r="85">
      <c r="A85" s="6" t="inlineStr">
        <is>
          <t>ESTIMATED TIME TO COMPLETE:</t>
        </is>
      </c>
    </row>
    <row r="86">
      <c r="A86" s="5" t="inlineStr">
        <is>
          <t>• Silver Partners: 3-5 hours (with seller financials)</t>
        </is>
      </c>
    </row>
    <row r="87">
      <c r="A87" s="5" t="inlineStr">
        <is>
          <t>• Gold Partners: 6-10 hours (detailed analysis)</t>
        </is>
      </c>
    </row>
    <row r="88">
      <c r="A88" s="5" t="inlineStr">
        <is>
          <t>• Platinum Partners: 10-15 hours (historical trends + vendor review)</t>
        </is>
      </c>
    </row>
    <row r="89">
      <c r="A89" s="5" t="inlineStr"/>
    </row>
    <row r="90">
      <c r="A90" s="6" t="inlineStr">
        <is>
          <t>SUPPORT:</t>
        </is>
      </c>
    </row>
    <row r="91">
      <c r="A91" s="5" t="inlineStr">
        <is>
          <t>Questions about operating expenses? Email: partners@veepcapital.com</t>
        </is>
      </c>
    </row>
    <row r="92">
      <c r="A92" s="5" t="inlineStr">
        <is>
          <t>Need help finding benchmarks? See Market Research Template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33" t="inlineStr">
        <is>
          <t>OPERATING EXPENSE ANALYSIS - SUMMARY</t>
        </is>
      </c>
    </row>
    <row r="3">
      <c r="A3" s="34" t="inlineStr">
        <is>
          <t>Property Name:</t>
        </is>
      </c>
      <c r="B3" s="35">
        <f>Property_Info!B4</f>
        <v/>
      </c>
    </row>
    <row r="4">
      <c r="A4" s="34" t="inlineStr">
        <is>
          <t>Property Type:</t>
        </is>
      </c>
      <c r="B4" s="35">
        <f>Property_Info!B11</f>
        <v/>
      </c>
      <c r="D4" s="34" t="inlineStr">
        <is>
          <t>Asset Class:</t>
        </is>
      </c>
      <c r="E4" s="35">
        <f>Property_Info!B12</f>
        <v/>
      </c>
    </row>
    <row r="5">
      <c r="A5" s="34" t="inlineStr">
        <is>
          <t>Total Units:</t>
        </is>
      </c>
      <c r="B5" s="35">
        <f>Property_Info!B7</f>
        <v/>
      </c>
      <c r="D5" s="34" t="inlineStr">
        <is>
          <t>Total SF:</t>
        </is>
      </c>
      <c r="E5" s="35">
        <f>Property_Info!B8</f>
        <v/>
      </c>
    </row>
    <row r="7">
      <c r="A7" s="11" t="inlineStr">
        <is>
          <t>OPERATING EXPENSE OVERVIEW</t>
        </is>
      </c>
    </row>
    <row r="8">
      <c r="A8" s="8" t="inlineStr">
        <is>
          <t>Total Annual OpEx:</t>
        </is>
      </c>
      <c r="B8" s="36">
        <f>Actual_Expenses!B38</f>
        <v/>
      </c>
    </row>
    <row r="9">
      <c r="A9" s="8" t="inlineStr">
        <is>
          <t>OpEx Per Unit:</t>
        </is>
      </c>
      <c r="B9" s="36">
        <f>Actual_Expenses!B40</f>
        <v/>
      </c>
    </row>
    <row r="10">
      <c r="A10" s="8" t="inlineStr">
        <is>
          <t>OpEx Per SF:</t>
        </is>
      </c>
      <c r="B10" s="37">
        <f>Actual_Expenses!B41</f>
        <v/>
      </c>
    </row>
    <row r="11">
      <c r="A11" s="8" t="inlineStr">
        <is>
          <t>Operating Expense Ratio:</t>
        </is>
      </c>
      <c r="B11" s="38">
        <f>Actual_Expenses!B39</f>
        <v/>
      </c>
    </row>
    <row r="13">
      <c r="A13" s="11" t="inlineStr">
        <is>
          <t>TOP 5 EXPENSE CATEGORIES</t>
        </is>
      </c>
    </row>
    <row r="14">
      <c r="A14" s="30" t="inlineStr">
        <is>
          <t>Category</t>
        </is>
      </c>
      <c r="B14" s="30" t="inlineStr">
        <is>
          <t>Annual Amount</t>
        </is>
      </c>
      <c r="C14" s="30" t="inlineStr">
        <is>
          <t>% of Total OpEx</t>
        </is>
      </c>
      <c r="D14" s="30" t="inlineStr">
        <is>
          <t>Per Unit</t>
        </is>
      </c>
    </row>
    <row r="15">
      <c r="A15" s="19" t="inlineStr">
        <is>
          <t>Property Taxes</t>
        </is>
      </c>
      <c r="B15" s="16">
        <f>Actual_Expenses!B6</f>
        <v/>
      </c>
      <c r="C15" s="21">
        <f>B15/Actual_Expenses!$B$38</f>
        <v/>
      </c>
      <c r="D15" s="16">
        <f>B15/Property_Info!$B$7</f>
        <v/>
      </c>
    </row>
    <row r="16">
      <c r="A16" s="19" t="inlineStr">
        <is>
          <t>Repairs &amp; Maintenance</t>
        </is>
      </c>
      <c r="B16" s="16">
        <f>Actual_Expenses!B13</f>
        <v/>
      </c>
      <c r="C16" s="21">
        <f>B16/Actual_Expenses!$B$38</f>
        <v/>
      </c>
      <c r="D16" s="16">
        <f>B16/Property_Info!$B$7</f>
        <v/>
      </c>
    </row>
    <row r="17">
      <c r="A17" s="19" t="inlineStr">
        <is>
          <t>Property Management</t>
        </is>
      </c>
      <c r="B17" s="16">
        <f>Actual_Expenses!B11</f>
        <v/>
      </c>
      <c r="C17" s="21">
        <f>B17/Actual_Expenses!$B$38</f>
        <v/>
      </c>
      <c r="D17" s="16">
        <f>B17/Property_Info!$B$7</f>
        <v/>
      </c>
    </row>
    <row r="18">
      <c r="A18" s="19" t="inlineStr">
        <is>
          <t>Utilities (total)</t>
        </is>
      </c>
      <c r="B18" s="16">
        <f>SUM(Actual_Expenses!B17:B20)</f>
        <v/>
      </c>
      <c r="C18" s="21">
        <f>B18/Actual_Expenses!$B$38</f>
        <v/>
      </c>
      <c r="D18" s="16">
        <f>B18/Property_Info!$B$7</f>
        <v/>
      </c>
    </row>
    <row r="19">
      <c r="A19" s="19" t="inlineStr">
        <is>
          <t>Insurance</t>
        </is>
      </c>
      <c r="B19" s="16">
        <f>Actual_Expenses!B7</f>
        <v/>
      </c>
      <c r="C19" s="21">
        <f>B19/Actual_Expenses!$B$38</f>
        <v/>
      </c>
      <c r="D19" s="16">
        <f>B19/Property_Info!$B$7</f>
        <v/>
      </c>
    </row>
    <row r="22">
      <c r="A22" s="11" t="inlineStr">
        <is>
          <t>BENCHMARK ASSESSMENT</t>
        </is>
      </c>
    </row>
    <row r="23">
      <c r="A23" s="8" t="inlineStr">
        <is>
          <t>Overall OpEx vs Market:</t>
        </is>
      </c>
      <c r="B23" s="39" t="n"/>
    </row>
    <row r="24">
      <c r="A24" s="8" t="inlineStr">
        <is>
          <t>OpEx Ratio Assessment:</t>
        </is>
      </c>
      <c r="B24" s="39" t="n"/>
    </row>
    <row r="26">
      <c r="A26" s="40" t="inlineStr">
        <is>
          <t>RED FLAGS / CONCERNS</t>
        </is>
      </c>
    </row>
    <row r="27" ht="25" customHeight="1">
      <c r="A27" s="8" t="inlineStr">
        <is>
          <t>1.</t>
        </is>
      </c>
      <c r="B27" s="41" t="n"/>
    </row>
    <row r="28" ht="25" customHeight="1">
      <c r="A28" s="8" t="inlineStr">
        <is>
          <t>2.</t>
        </is>
      </c>
      <c r="B28" s="41" t="n"/>
    </row>
    <row r="29" ht="25" customHeight="1">
      <c r="A29" s="8" t="inlineStr">
        <is>
          <t>3.</t>
        </is>
      </c>
      <c r="B29" s="41" t="n"/>
    </row>
    <row r="30" ht="25" customHeight="1">
      <c r="A30" s="8" t="inlineStr">
        <is>
          <t>4.</t>
        </is>
      </c>
      <c r="B30" s="41" t="n"/>
    </row>
    <row r="31" ht="25" customHeight="1">
      <c r="A31" s="8" t="inlineStr">
        <is>
          <t>5.</t>
        </is>
      </c>
      <c r="B31" s="41" t="n"/>
    </row>
    <row r="33">
      <c r="A33" s="11" t="inlineStr">
        <is>
          <t>RECOMMENDATIONS</t>
        </is>
      </c>
    </row>
    <row r="34" ht="100" customHeight="1">
      <c r="A34" s="41" t="n"/>
    </row>
    <row r="35"/>
    <row r="36"/>
    <row r="37"/>
    <row r="38"/>
    <row r="39">
      <c r="A39" s="42" t="inlineStr">
        <is>
          <t>PROCEED WITH INVESTMENT?</t>
        </is>
      </c>
      <c r="B39" s="43" t="n"/>
    </row>
  </sheetData>
  <mergeCells count="16">
    <mergeCell ref="B30:F30"/>
    <mergeCell ref="A33:F33"/>
    <mergeCell ref="B29:F29"/>
    <mergeCell ref="B39:F39"/>
    <mergeCell ref="B24:F24"/>
    <mergeCell ref="A13:F13"/>
    <mergeCell ref="A1:F1"/>
    <mergeCell ref="B28:F28"/>
    <mergeCell ref="B3:F3"/>
    <mergeCell ref="A34:F38"/>
    <mergeCell ref="A22:F22"/>
    <mergeCell ref="B23:F23"/>
    <mergeCell ref="B31:F31"/>
    <mergeCell ref="A26:F26"/>
    <mergeCell ref="B27:F27"/>
    <mergeCell ref="A7:F7"/>
  </mergeCells>
  <dataValidations count="3">
    <dataValidation sqref="B23" showDropDown="0" showInputMessage="0" showErrorMessage="0" allowBlank="0" type="list">
      <formula1>"Well Below Market,Below Market,At Market,Above Market,Well Above Market"</formula1>
    </dataValidation>
    <dataValidation sqref="B24" showDropDown="0" showInputMessage="0" showErrorMessage="0" allowBlank="0" type="list">
      <formula1>"Excellent (&lt;40%),Good (40-45%),Fair (45-50%),Poor (50-55%),Very Poor (&gt;55%)"</formula1>
    </dataValidation>
    <dataValidation sqref="B39" showDropDown="0" showInputMessage="0" showErrorMessage="0" allowBlank="0" type="list">
      <formula1>"Yes - OpEx Acceptable,Yes - With Adjustments,Maybe - Needs Review,No - OpEx Too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 ht="25" customHeight="1">
      <c r="A1" s="9" t="inlineStr">
        <is>
          <t>PROPERTY INFORMATION</t>
        </is>
      </c>
    </row>
    <row r="2">
      <c r="A2" s="10" t="inlineStr">
        <is>
          <t>Enter basic property information. This data will be used throughout all expense calculations.</t>
        </is>
      </c>
    </row>
    <row r="4">
      <c r="A4" s="11" t="inlineStr">
        <is>
          <t>A. BASIC PROPERTY DATA</t>
        </is>
      </c>
    </row>
    <row r="5">
      <c r="A5" s="8" t="inlineStr">
        <is>
          <t>Property Name:</t>
        </is>
      </c>
      <c r="B5" s="12" t="n"/>
    </row>
    <row r="6">
      <c r="A6" s="8" t="inlineStr">
        <is>
          <t>Property Address:</t>
        </is>
      </c>
      <c r="B6" s="12" t="n"/>
    </row>
    <row r="8">
      <c r="A8" s="8" t="inlineStr">
        <is>
          <t>Total Units:</t>
        </is>
      </c>
      <c r="B8" s="12" t="n"/>
    </row>
    <row r="9">
      <c r="A9" s="8" t="inlineStr">
        <is>
          <t>Total Rentable SF:</t>
        </is>
      </c>
      <c r="B9" s="12" t="n"/>
    </row>
    <row r="10">
      <c r="A10" s="8" t="inlineStr">
        <is>
          <t>Avg Unit Size (SF):</t>
        </is>
      </c>
      <c r="B10" s="13">
        <f>B8/B7</f>
        <v/>
      </c>
    </row>
    <row r="12">
      <c r="A12" s="8" t="inlineStr">
        <is>
          <t>Year Built:</t>
        </is>
      </c>
      <c r="B12" s="12" t="n"/>
    </row>
    <row r="13">
      <c r="A13" s="8" t="inlineStr">
        <is>
          <t>Property Type:</t>
        </is>
      </c>
      <c r="B13" s="12" t="n"/>
    </row>
    <row r="14">
      <c r="A14" s="8" t="inlineStr">
        <is>
          <t>Asset Class:</t>
        </is>
      </c>
      <c r="B14" s="12" t="n"/>
    </row>
    <row r="15">
      <c r="A15" s="8" t="inlineStr">
        <is>
          <t>Number of Buildings:</t>
        </is>
      </c>
      <c r="B15" s="12" t="n"/>
    </row>
    <row r="16">
      <c r="A16" s="8" t="inlineStr">
        <is>
          <t>Number of Stories:</t>
        </is>
      </c>
      <c r="B16" s="12" t="n"/>
    </row>
    <row r="18">
      <c r="A18" s="11" t="inlineStr">
        <is>
          <t>B. INCOME (FOR OPEX RATIO CALCULATION)</t>
        </is>
      </c>
    </row>
    <row r="19">
      <c r="A19" s="8" t="inlineStr">
        <is>
          <t>Gross Potential Income (Annual):</t>
        </is>
      </c>
      <c r="B19" s="14" t="n"/>
    </row>
    <row r="20">
      <c r="A20" s="8" t="inlineStr">
        <is>
          <t>Vacancy Rate %:</t>
        </is>
      </c>
      <c r="B20" s="15" t="n"/>
    </row>
    <row r="21">
      <c r="A21" s="8" t="inlineStr">
        <is>
          <t>Effective Gross Income (Annual):</t>
        </is>
      </c>
      <c r="B21" s="16">
        <f>B18*(1-B19/100)</f>
        <v/>
      </c>
    </row>
  </sheetData>
  <mergeCells count="4">
    <mergeCell ref="A1:D1"/>
    <mergeCell ref="A4:D4"/>
    <mergeCell ref="A2:D2"/>
    <mergeCell ref="A18:D18"/>
  </mergeCells>
  <dataValidations count="2">
    <dataValidation sqref="B13" showDropDown="0" showInputMessage="0" showErrorMessage="0" allowBlank="0" type="list">
      <formula1>"Garden Style,Mid-Rise,High-Rise,Townhome,Single Family,Mixed Use"</formula1>
    </dataValidation>
    <dataValidation sqref="B14" showDropDown="0" showInputMessage="0" showErrorMessage="0" allowBlank="0" type="list">
      <formula1>"Class A,Class B,Class C,Value-Add"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 ht="25" customHeight="1">
      <c r="A1" s="9" t="inlineStr">
        <is>
          <t>ACTUAL OPERATING EXPENSES (T-12)</t>
        </is>
      </c>
    </row>
    <row r="2">
      <c r="A2" s="10" t="inlineStr">
        <is>
          <t>Enter actual expenses from seller's trailing 12-month operating statements. Be sure to verify all numbers.</t>
        </is>
      </c>
    </row>
    <row r="4">
      <c r="A4" s="17" t="inlineStr">
        <is>
          <t>Expense Category</t>
        </is>
      </c>
      <c r="B4" s="17" t="inlineStr">
        <is>
          <t>Annual Amount</t>
        </is>
      </c>
      <c r="C4" s="17" t="inlineStr">
        <is>
          <t>Per Unit</t>
        </is>
      </c>
      <c r="D4" s="17" t="inlineStr">
        <is>
          <t>Per SF</t>
        </is>
      </c>
      <c r="E4" s="17" t="inlineStr">
        <is>
          <t>% of EGI</t>
        </is>
      </c>
      <c r="F4" s="17" t="inlineStr">
        <is>
          <t>Data Source</t>
        </is>
      </c>
    </row>
    <row r="5">
      <c r="A5" s="18" t="inlineStr">
        <is>
          <t>FIXED EXPENSES</t>
        </is>
      </c>
    </row>
    <row r="6">
      <c r="A6" s="19" t="inlineStr">
        <is>
          <t>Property Taxes</t>
        </is>
      </c>
      <c r="B6" s="14" t="n"/>
      <c r="C6" s="16">
        <f>IF(Property_Info!$B$7&gt;0,B6/Property_Info!$B$7,0)</f>
        <v/>
      </c>
      <c r="D6" s="20">
        <f>IF(Property_Info!$B$8&gt;0,B6/Property_Info!$B$8,0)</f>
        <v/>
      </c>
      <c r="E6" s="21">
        <f>IF(Property_Info!$B$23&gt;0,B6/Property_Info!$B$23,0)</f>
        <v/>
      </c>
      <c r="F6" s="12" t="n"/>
    </row>
    <row r="7">
      <c r="A7" s="19" t="inlineStr">
        <is>
          <t>Property Insurance</t>
        </is>
      </c>
      <c r="B7" s="14" t="n"/>
      <c r="C7" s="16">
        <f>IF(Property_Info!$B$7&gt;0,B7/Property_Info!$B$7,0)</f>
        <v/>
      </c>
      <c r="D7" s="20">
        <f>IF(Property_Info!$B$8&gt;0,B7/Property_Info!$B$8,0)</f>
        <v/>
      </c>
      <c r="E7" s="21">
        <f>IF(Property_Info!$B$23&gt;0,B7/Property_Info!$B$23,0)</f>
        <v/>
      </c>
      <c r="F7" s="12" t="n"/>
    </row>
    <row r="8">
      <c r="A8" s="19" t="inlineStr">
        <is>
          <t>HOA/Condo Fees (if applicable)</t>
        </is>
      </c>
      <c r="B8" s="14" t="n"/>
      <c r="C8" s="16">
        <f>IF(Property_Info!$B$7&gt;0,B8/Property_Info!$B$7,0)</f>
        <v/>
      </c>
      <c r="D8" s="20">
        <f>IF(Property_Info!$B$8&gt;0,B8/Property_Info!$B$8,0)</f>
        <v/>
      </c>
      <c r="E8" s="21">
        <f>IF(Property_Info!$B$23&gt;0,B8/Property_Info!$B$23,0)</f>
        <v/>
      </c>
      <c r="F8" s="12" t="n"/>
    </row>
    <row r="10">
      <c r="A10" s="18" t="inlineStr">
        <is>
          <t>VARIABLE EXPENSES</t>
        </is>
      </c>
    </row>
    <row r="11">
      <c r="A11" s="19" t="inlineStr">
        <is>
          <t>Property Management</t>
        </is>
      </c>
      <c r="B11" s="14" t="n"/>
      <c r="C11" s="16">
        <f>IF(Property_Info!$B$7&gt;0,B11/Property_Info!$B$7,0)</f>
        <v/>
      </c>
      <c r="D11" s="20">
        <f>IF(Property_Info!$B$8&gt;0,B11/Property_Info!$B$8,0)</f>
        <v/>
      </c>
      <c r="E11" s="21">
        <f>IF(Property_Info!$B$23&gt;0,B11/Property_Info!$B$23,0)</f>
        <v/>
      </c>
      <c r="F11" s="12" t="n"/>
    </row>
    <row r="12">
      <c r="A12" s="19" t="inlineStr">
        <is>
          <t>Leasing/Marketing</t>
        </is>
      </c>
      <c r="B12" s="14" t="n"/>
      <c r="C12" s="16">
        <f>IF(Property_Info!$B$7&gt;0,B12/Property_Info!$B$7,0)</f>
        <v/>
      </c>
      <c r="D12" s="20">
        <f>IF(Property_Info!$B$8&gt;0,B12/Property_Info!$B$8,0)</f>
        <v/>
      </c>
      <c r="E12" s="21">
        <f>IF(Property_Info!$B$23&gt;0,B12/Property_Info!$B$23,0)</f>
        <v/>
      </c>
      <c r="F12" s="12" t="n"/>
    </row>
    <row r="13">
      <c r="A13" s="19" t="inlineStr">
        <is>
          <t>Repairs &amp; Maintenance</t>
        </is>
      </c>
      <c r="B13" s="14" t="n"/>
      <c r="C13" s="16">
        <f>IF(Property_Info!$B$7&gt;0,B13/Property_Info!$B$7,0)</f>
        <v/>
      </c>
      <c r="D13" s="20">
        <f>IF(Property_Info!$B$8&gt;0,B13/Property_Info!$B$8,0)</f>
        <v/>
      </c>
      <c r="E13" s="21">
        <f>IF(Property_Info!$B$23&gt;0,B13/Property_Info!$B$23,0)</f>
        <v/>
      </c>
      <c r="F13" s="12" t="n"/>
    </row>
    <row r="14">
      <c r="A14" s="19" t="inlineStr">
        <is>
          <t>Turnover Costs</t>
        </is>
      </c>
      <c r="B14" s="14" t="n"/>
      <c r="C14" s="16">
        <f>IF(Property_Info!$B$7&gt;0,B14/Property_Info!$B$7,0)</f>
        <v/>
      </c>
      <c r="D14" s="20">
        <f>IF(Property_Info!$B$8&gt;0,B14/Property_Info!$B$8,0)</f>
        <v/>
      </c>
      <c r="E14" s="21">
        <f>IF(Property_Info!$B$23&gt;0,B14/Property_Info!$B$23,0)</f>
        <v/>
      </c>
      <c r="F14" s="12" t="n"/>
    </row>
    <row r="16">
      <c r="A16" s="18" t="inlineStr">
        <is>
          <t>UTILITIES (if owner-paid)</t>
        </is>
      </c>
    </row>
    <row r="17">
      <c r="A17" s="19" t="inlineStr">
        <is>
          <t>Water &amp; Sewer</t>
        </is>
      </c>
      <c r="B17" s="14" t="n"/>
      <c r="C17" s="16">
        <f>IF(Property_Info!$B$7&gt;0,B17/Property_Info!$B$7,0)</f>
        <v/>
      </c>
      <c r="D17" s="20">
        <f>IF(Property_Info!$B$8&gt;0,B17/Property_Info!$B$8,0)</f>
        <v/>
      </c>
      <c r="E17" s="21">
        <f>IF(Property_Info!$B$23&gt;0,B17/Property_Info!$B$23,0)</f>
        <v/>
      </c>
      <c r="F17" s="12" t="n"/>
    </row>
    <row r="18">
      <c r="A18" s="19" t="inlineStr">
        <is>
          <t>Trash Removal</t>
        </is>
      </c>
      <c r="B18" s="14" t="n"/>
      <c r="C18" s="16">
        <f>IF(Property_Info!$B$7&gt;0,B18/Property_Info!$B$7,0)</f>
        <v/>
      </c>
      <c r="D18" s="20">
        <f>IF(Property_Info!$B$8&gt;0,B18/Property_Info!$B$8,0)</f>
        <v/>
      </c>
      <c r="E18" s="21">
        <f>IF(Property_Info!$B$23&gt;0,B18/Property_Info!$B$23,0)</f>
        <v/>
      </c>
      <c r="F18" s="12" t="n"/>
    </row>
    <row r="19">
      <c r="A19" s="19" t="inlineStr">
        <is>
          <t>Electric (common area)</t>
        </is>
      </c>
      <c r="B19" s="14" t="n"/>
      <c r="C19" s="16">
        <f>IF(Property_Info!$B$7&gt;0,B19/Property_Info!$B$7,0)</f>
        <v/>
      </c>
      <c r="D19" s="20">
        <f>IF(Property_Info!$B$8&gt;0,B19/Property_Info!$B$8,0)</f>
        <v/>
      </c>
      <c r="E19" s="21">
        <f>IF(Property_Info!$B$23&gt;0,B19/Property_Info!$B$23,0)</f>
        <v/>
      </c>
      <c r="F19" s="12" t="n"/>
    </row>
    <row r="20">
      <c r="A20" s="19" t="inlineStr">
        <is>
          <t>Gas (common area)</t>
        </is>
      </c>
      <c r="B20" s="14" t="n"/>
      <c r="C20" s="16">
        <f>IF(Property_Info!$B$7&gt;0,B20/Property_Info!$B$7,0)</f>
        <v/>
      </c>
      <c r="D20" s="20">
        <f>IF(Property_Info!$B$8&gt;0,B20/Property_Info!$B$8,0)</f>
        <v/>
      </c>
      <c r="E20" s="21">
        <f>IF(Property_Info!$B$23&gt;0,B20/Property_Info!$B$23,0)</f>
        <v/>
      </c>
      <c r="F20" s="12" t="n"/>
    </row>
    <row r="22">
      <c r="A22" s="18" t="inlineStr">
        <is>
          <t>GROUNDS &amp; EXTERIOR</t>
        </is>
      </c>
    </row>
    <row r="23">
      <c r="A23" s="19" t="inlineStr">
        <is>
          <t>Landscaping/Groundskeeping</t>
        </is>
      </c>
      <c r="B23" s="14" t="n"/>
      <c r="C23" s="16">
        <f>IF(Property_Info!$B$7&gt;0,B23/Property_Info!$B$7,0)</f>
        <v/>
      </c>
      <c r="D23" s="20">
        <f>IF(Property_Info!$B$8&gt;0,B23/Property_Info!$B$8,0)</f>
        <v/>
      </c>
      <c r="E23" s="21">
        <f>IF(Property_Info!$B$23&gt;0,B23/Property_Info!$B$23,0)</f>
        <v/>
      </c>
      <c r="F23" s="12" t="n"/>
    </row>
    <row r="24">
      <c r="A24" s="19" t="inlineStr">
        <is>
          <t>Snow Removal</t>
        </is>
      </c>
      <c r="B24" s="14" t="n"/>
      <c r="C24" s="16">
        <f>IF(Property_Info!$B$7&gt;0,B24/Property_Info!$B$7,0)</f>
        <v/>
      </c>
      <c r="D24" s="20">
        <f>IF(Property_Info!$B$8&gt;0,B24/Property_Info!$B$8,0)</f>
        <v/>
      </c>
      <c r="E24" s="21">
        <f>IF(Property_Info!$B$23&gt;0,B24/Property_Info!$B$23,0)</f>
        <v/>
      </c>
      <c r="F24" s="12" t="n"/>
    </row>
    <row r="25">
      <c r="A25" s="19" t="inlineStr">
        <is>
          <t>Pest Control</t>
        </is>
      </c>
      <c r="B25" s="14" t="n"/>
      <c r="C25" s="16">
        <f>IF(Property_Info!$B$7&gt;0,B25/Property_Info!$B$7,0)</f>
        <v/>
      </c>
      <c r="D25" s="20">
        <f>IF(Property_Info!$B$8&gt;0,B25/Property_Info!$B$8,0)</f>
        <v/>
      </c>
      <c r="E25" s="21">
        <f>IF(Property_Info!$B$23&gt;0,B25/Property_Info!$B$23,0)</f>
        <v/>
      </c>
      <c r="F25" s="12" t="n"/>
    </row>
    <row r="26">
      <c r="A26" s="19" t="inlineStr">
        <is>
          <t>Pool/Spa Service</t>
        </is>
      </c>
      <c r="B26" s="14" t="n"/>
      <c r="C26" s="16">
        <f>IF(Property_Info!$B$7&gt;0,B26/Property_Info!$B$7,0)</f>
        <v/>
      </c>
      <c r="D26" s="20">
        <f>IF(Property_Info!$B$8&gt;0,B26/Property_Info!$B$8,0)</f>
        <v/>
      </c>
      <c r="E26" s="21">
        <f>IF(Property_Info!$B$23&gt;0,B26/Property_Info!$B$23,0)</f>
        <v/>
      </c>
      <c r="F26" s="12" t="n"/>
    </row>
    <row r="28">
      <c r="A28" s="18" t="inlineStr">
        <is>
          <t>ADMINISTRATIVE</t>
        </is>
      </c>
    </row>
    <row r="29">
      <c r="A29" s="19" t="inlineStr">
        <is>
          <t>Accounting/Bookkeeping</t>
        </is>
      </c>
      <c r="B29" s="14" t="n"/>
      <c r="C29" s="16">
        <f>IF(Property_Info!$B$7&gt;0,B29/Property_Info!$B$7,0)</f>
        <v/>
      </c>
      <c r="D29" s="20">
        <f>IF(Property_Info!$B$8&gt;0,B29/Property_Info!$B$8,0)</f>
        <v/>
      </c>
      <c r="E29" s="21">
        <f>IF(Property_Info!$B$23&gt;0,B29/Property_Info!$B$23,0)</f>
        <v/>
      </c>
      <c r="F29" s="12" t="n"/>
    </row>
    <row r="30">
      <c r="A30" s="19" t="inlineStr">
        <is>
          <t>Legal Fees</t>
        </is>
      </c>
      <c r="B30" s="14" t="n"/>
      <c r="C30" s="16">
        <f>IF(Property_Info!$B$7&gt;0,B30/Property_Info!$B$7,0)</f>
        <v/>
      </c>
      <c r="D30" s="20">
        <f>IF(Property_Info!$B$8&gt;0,B30/Property_Info!$B$8,0)</f>
        <v/>
      </c>
      <c r="E30" s="21">
        <f>IF(Property_Info!$B$23&gt;0,B30/Property_Info!$B$23,0)</f>
        <v/>
      </c>
      <c r="F30" s="12" t="n"/>
    </row>
    <row r="31">
      <c r="A31" s="19" t="inlineStr">
        <is>
          <t>Office Supplies</t>
        </is>
      </c>
      <c r="B31" s="14" t="n"/>
      <c r="C31" s="16">
        <f>IF(Property_Info!$B$7&gt;0,B31/Property_Info!$B$7,0)</f>
        <v/>
      </c>
      <c r="D31" s="20">
        <f>IF(Property_Info!$B$8&gt;0,B31/Property_Info!$B$8,0)</f>
        <v/>
      </c>
      <c r="E31" s="21">
        <f>IF(Property_Info!$B$23&gt;0,B31/Property_Info!$B$23,0)</f>
        <v/>
      </c>
      <c r="F31" s="12" t="n"/>
    </row>
    <row r="32">
      <c r="A32" s="19" t="inlineStr">
        <is>
          <t>Professional Fees</t>
        </is>
      </c>
      <c r="B32" s="14" t="n"/>
      <c r="C32" s="16">
        <f>IF(Property_Info!$B$7&gt;0,B32/Property_Info!$B$7,0)</f>
        <v/>
      </c>
      <c r="D32" s="20">
        <f>IF(Property_Info!$B$8&gt;0,B32/Property_Info!$B$8,0)</f>
        <v/>
      </c>
      <c r="E32" s="21">
        <f>IF(Property_Info!$B$23&gt;0,B32/Property_Info!$B$23,0)</f>
        <v/>
      </c>
      <c r="F32" s="12" t="n"/>
    </row>
    <row r="34">
      <c r="A34" s="18" t="inlineStr">
        <is>
          <t>OTHER EXPENSES</t>
        </is>
      </c>
    </row>
    <row r="35">
      <c r="A35" s="19" t="inlineStr">
        <is>
          <t>Security</t>
        </is>
      </c>
      <c r="B35" s="14" t="n"/>
      <c r="C35" s="16">
        <f>IF(Property_Info!$B$7&gt;0,B35/Property_Info!$B$7,0)</f>
        <v/>
      </c>
      <c r="D35" s="20">
        <f>IF(Property_Info!$B$8&gt;0,B35/Property_Info!$B$8,0)</f>
        <v/>
      </c>
      <c r="E35" s="21">
        <f>IF(Property_Info!$B$23&gt;0,B35/Property_Info!$B$23,0)</f>
        <v/>
      </c>
      <c r="F35" s="12" t="n"/>
    </row>
    <row r="36">
      <c r="A36" s="19" t="inlineStr">
        <is>
          <t>Elevator Service</t>
        </is>
      </c>
      <c r="B36" s="14" t="n"/>
      <c r="C36" s="16">
        <f>IF(Property_Info!$B$7&gt;0,B36/Property_Info!$B$7,0)</f>
        <v/>
      </c>
      <c r="D36" s="20">
        <f>IF(Property_Info!$B$8&gt;0,B36/Property_Info!$B$8,0)</f>
        <v/>
      </c>
      <c r="E36" s="21">
        <f>IF(Property_Info!$B$23&gt;0,B36/Property_Info!$B$23,0)</f>
        <v/>
      </c>
      <c r="F36" s="12" t="n"/>
    </row>
    <row r="37">
      <c r="A37" s="19" t="inlineStr">
        <is>
          <t>License/Permits</t>
        </is>
      </c>
      <c r="B37" s="14" t="n"/>
      <c r="C37" s="16">
        <f>IF(Property_Info!$B$7&gt;0,B37/Property_Info!$B$7,0)</f>
        <v/>
      </c>
      <c r="D37" s="20">
        <f>IF(Property_Info!$B$8&gt;0,B37/Property_Info!$B$8,0)</f>
        <v/>
      </c>
      <c r="E37" s="21">
        <f>IF(Property_Info!$B$23&gt;0,B37/Property_Info!$B$23,0)</f>
        <v/>
      </c>
      <c r="F37" s="12" t="n"/>
    </row>
    <row r="38">
      <c r="A38" s="19" t="inlineStr">
        <is>
          <t>Miscellaneous</t>
        </is>
      </c>
      <c r="B38" s="14" t="n"/>
      <c r="C38" s="16">
        <f>IF(Property_Info!$B$7&gt;0,B38/Property_Info!$B$7,0)</f>
        <v/>
      </c>
      <c r="D38" s="20">
        <f>IF(Property_Info!$B$8&gt;0,B38/Property_Info!$B$8,0)</f>
        <v/>
      </c>
      <c r="E38" s="21">
        <f>IF(Property_Info!$B$23&gt;0,B38/Property_Info!$B$23,0)</f>
        <v/>
      </c>
      <c r="F38" s="12" t="n"/>
    </row>
    <row r="39">
      <c r="A39" s="6" t="inlineStr">
        <is>
          <t>TOTAL OPERATING EXPENSES</t>
        </is>
      </c>
      <c r="B39" s="22">
        <f>SUM(B5:B38)</f>
        <v/>
      </c>
      <c r="C39" s="22">
        <f>IF(Property_Info!$B$7&gt;0,B39/Property_Info!$B$7,0)</f>
        <v/>
      </c>
      <c r="D39" s="23">
        <f>IF(Property_Info!$B$8&gt;0,B39/Property_Info!$B$8,0)</f>
        <v/>
      </c>
      <c r="E39" s="24">
        <f>IF(Property_Info!$B$23&gt;0,B39/Property_Info!$B$23,0)</f>
        <v/>
      </c>
    </row>
    <row r="41">
      <c r="A41" s="11" t="inlineStr">
        <is>
          <t>KEY METRICS</t>
        </is>
      </c>
    </row>
    <row r="42">
      <c r="A42" s="8" t="inlineStr">
        <is>
          <t>Operating Expense Ratio:</t>
        </is>
      </c>
      <c r="B42" s="25">
        <f>B39/Property_Info!$B$23</f>
        <v/>
      </c>
    </row>
    <row r="43">
      <c r="A43" s="8" t="inlineStr">
        <is>
          <t>OpEx Per Unit:</t>
        </is>
      </c>
      <c r="B43" s="26">
        <f>B39/Property_Info!$B$7</f>
        <v/>
      </c>
    </row>
    <row r="44">
      <c r="A44" s="8" t="inlineStr">
        <is>
          <t>OpEx Per SF:</t>
        </is>
      </c>
      <c r="B44" s="26">
        <f>B39/Property_Info!$B$8</f>
        <v/>
      </c>
    </row>
  </sheetData>
  <mergeCells count="9">
    <mergeCell ref="A41:F41"/>
    <mergeCell ref="A2:F2"/>
    <mergeCell ref="A16:F16"/>
    <mergeCell ref="A10:F10"/>
    <mergeCell ref="A28:F28"/>
    <mergeCell ref="A1:F1"/>
    <mergeCell ref="A5:F5"/>
    <mergeCell ref="A22:F22"/>
    <mergeCell ref="A34:F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 ht="25" customHeight="1">
      <c r="A1" s="9" t="inlineStr">
        <is>
          <t>BENCHMARK COMPARISON ANALYSIS</t>
        </is>
      </c>
    </row>
    <row r="2">
      <c r="A2" s="10" t="inlineStr">
        <is>
          <t>Compare your expenses to industry benchmarks. Red = above market, Green = below market.</t>
        </is>
      </c>
    </row>
    <row r="4">
      <c r="A4" s="17" t="inlineStr">
        <is>
          <t>Expense Category</t>
        </is>
      </c>
      <c r="B4" s="17" t="inlineStr">
        <is>
          <t>Your Actual</t>
        </is>
      </c>
      <c r="C4" s="17" t="inlineStr">
        <is>
          <t>Market Low</t>
        </is>
      </c>
      <c r="D4" s="17" t="inlineStr">
        <is>
          <t>Market Avg</t>
        </is>
      </c>
      <c r="E4" s="17" t="inlineStr">
        <is>
          <t>Market High</t>
        </is>
      </c>
      <c r="F4" s="17" t="inlineStr">
        <is>
          <t>Variance</t>
        </is>
      </c>
      <c r="G4" s="17" t="inlineStr">
        <is>
          <t>Status</t>
        </is>
      </c>
    </row>
    <row r="5">
      <c r="A5" s="19" t="inlineStr">
        <is>
          <t>Property Taxes</t>
        </is>
      </c>
      <c r="B5" s="16">
        <f>Actual_Expenses!C6</f>
        <v/>
      </c>
      <c r="C5" s="14" t="n">
        <v>400</v>
      </c>
      <c r="D5" s="14" t="n">
        <v>800</v>
      </c>
      <c r="E5" s="14" t="n">
        <v>1500</v>
      </c>
      <c r="F5" s="27">
        <f>B5-D5</f>
        <v/>
      </c>
      <c r="G5" s="28">
        <f>IF(B5&lt;=D5,"Below Market","Above Market")</f>
        <v/>
      </c>
    </row>
    <row r="6">
      <c r="A6" s="19" t="inlineStr">
        <is>
          <t>Property Insurance</t>
        </is>
      </c>
      <c r="B6" s="16">
        <f>Actual_Expenses!C7</f>
        <v/>
      </c>
      <c r="C6" s="14" t="n">
        <v>200</v>
      </c>
      <c r="D6" s="14" t="n">
        <v>400</v>
      </c>
      <c r="E6" s="14" t="n">
        <v>800</v>
      </c>
      <c r="F6" s="27">
        <f>B6-D6</f>
        <v/>
      </c>
      <c r="G6" s="28">
        <f>IF(B6&lt;=D6,"Below Market","Above Market")</f>
        <v/>
      </c>
    </row>
    <row r="7">
      <c r="A7" s="19" t="inlineStr">
        <is>
          <t>Property Management</t>
        </is>
      </c>
      <c r="B7" s="16">
        <f>Actual_Expenses!C11</f>
        <v/>
      </c>
      <c r="C7" s="14" t="n">
        <v>300</v>
      </c>
      <c r="D7" s="14" t="n">
        <v>600</v>
      </c>
      <c r="E7" s="14" t="n">
        <v>1200</v>
      </c>
      <c r="F7" s="27">
        <f>B7-D7</f>
        <v/>
      </c>
      <c r="G7" s="28">
        <f>IF(B7&lt;=D7,"Below Market","Above Market")</f>
        <v/>
      </c>
    </row>
    <row r="8">
      <c r="A8" s="19" t="inlineStr">
        <is>
          <t>Repairs &amp; Maintenance</t>
        </is>
      </c>
      <c r="B8" s="16">
        <f>Actual_Expenses!C13</f>
        <v/>
      </c>
      <c r="C8" s="14" t="n">
        <v>500</v>
      </c>
      <c r="D8" s="14" t="n">
        <v>900</v>
      </c>
      <c r="E8" s="14" t="n">
        <v>1500</v>
      </c>
      <c r="F8" s="27">
        <f>B8-D8</f>
        <v/>
      </c>
      <c r="G8" s="28">
        <f>IF(B8&lt;=D8,"Below Market","Above Market")</f>
        <v/>
      </c>
    </row>
    <row r="9">
      <c r="A9" s="19" t="inlineStr">
        <is>
          <t>Utilities (total)</t>
        </is>
      </c>
      <c r="B9" s="16">
        <f>SUM(Actual_Expenses!C17:C20)</f>
        <v/>
      </c>
      <c r="C9" s="14" t="n">
        <v>200</v>
      </c>
      <c r="D9" s="14" t="n">
        <v>450</v>
      </c>
      <c r="E9" s="14" t="n">
        <v>900</v>
      </c>
      <c r="F9" s="27">
        <f>B9-D9</f>
        <v/>
      </c>
      <c r="G9" s="28">
        <f>IF(B9&lt;=D9,"Below Market","Above Market")</f>
        <v/>
      </c>
    </row>
    <row r="10">
      <c r="A10" s="19" t="inlineStr">
        <is>
          <t>Landscaping/Grounds</t>
        </is>
      </c>
      <c r="B10" s="16">
        <f>Actual_Expenses!C23</f>
        <v/>
      </c>
      <c r="C10" s="14" t="n">
        <v>100</v>
      </c>
      <c r="D10" s="14" t="n">
        <v>250</v>
      </c>
      <c r="E10" s="14" t="n">
        <v>500</v>
      </c>
      <c r="F10" s="27">
        <f>B10-D10</f>
        <v/>
      </c>
      <c r="G10" s="28">
        <f>IF(B10&lt;=D10,"Below Market","Above Market")</f>
        <v/>
      </c>
    </row>
    <row r="11">
      <c r="A11" s="19" t="inlineStr">
        <is>
          <t>Administrative</t>
        </is>
      </c>
      <c r="B11" s="16">
        <f>SUM(Actual_Expenses!C28:C31)</f>
        <v/>
      </c>
      <c r="C11" s="14" t="n">
        <v>100</v>
      </c>
      <c r="D11" s="14" t="n">
        <v>200</v>
      </c>
      <c r="E11" s="14" t="n">
        <v>400</v>
      </c>
      <c r="F11" s="27">
        <f>B11-D11</f>
        <v/>
      </c>
      <c r="G11" s="28">
        <f>IF(B11&lt;=D11,"Below Market","Above Market")</f>
        <v/>
      </c>
    </row>
    <row r="13">
      <c r="A13" s="29" t="inlineStr">
        <is>
          <t>TOTAL OpEx Per Unit</t>
        </is>
      </c>
      <c r="B13" s="27">
        <f>Actual_Expenses!C39</f>
        <v/>
      </c>
      <c r="C13" s="14" t="n">
        <v>3000</v>
      </c>
      <c r="D13" s="14" t="n">
        <v>4500</v>
      </c>
      <c r="E13" s="14" t="n">
        <v>7000</v>
      </c>
      <c r="F13" s="27">
        <f>B13-D13</f>
        <v/>
      </c>
      <c r="G13" s="28">
        <f>IF(B13&lt;=D13,"Below Market","Above Market")</f>
        <v/>
      </c>
    </row>
    <row r="15">
      <c r="A15" s="11" t="inlineStr">
        <is>
          <t>OPEX RATIO BENCHMARK</t>
        </is>
      </c>
    </row>
    <row r="16">
      <c r="A16" s="30" t="inlineStr">
        <is>
          <t>Property Class</t>
        </is>
      </c>
      <c r="B16" s="30" t="inlineStr">
        <is>
          <t>Your OpEx Ratio</t>
        </is>
      </c>
      <c r="C16" s="30" t="inlineStr">
        <is>
          <t>Target Range</t>
        </is>
      </c>
      <c r="D16" s="30" t="inlineStr">
        <is>
          <t>Assessment</t>
        </is>
      </c>
    </row>
    <row r="17">
      <c r="A17" s="31">
        <f>Property_Info!B12</f>
        <v/>
      </c>
      <c r="B17" s="32">
        <f>Actual_Expenses!B42</f>
        <v/>
      </c>
      <c r="C17" s="12" t="n"/>
      <c r="D17" s="12" t="n"/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5" customHeight="1">
      <c r="A1" s="9" t="inlineStr">
        <is>
          <t>5-YEAR OPERATING EXPENSE PROJECTIONS</t>
        </is>
      </c>
    </row>
    <row r="2">
      <c r="A2" s="10" t="inlineStr">
        <is>
          <t>Project operating expenses over 5-year hold period. Enter annual growth rates below.</t>
        </is>
      </c>
    </row>
    <row r="4">
      <c r="A4" s="11" t="inlineStr">
        <is>
          <t>ANNUAL GROWTH ASSUMPTIONS</t>
        </is>
      </c>
    </row>
    <row r="5">
      <c r="A5" s="8" t="inlineStr">
        <is>
          <t>Property Tax Growth %:</t>
        </is>
      </c>
      <c r="B5" s="44" t="n">
        <v>3</v>
      </c>
    </row>
    <row r="6">
      <c r="A6" s="8" t="inlineStr">
        <is>
          <t>Insurance Growth %:</t>
        </is>
      </c>
      <c r="B6" s="44" t="n">
        <v>4</v>
      </c>
    </row>
    <row r="7">
      <c r="A7" s="8" t="inlineStr">
        <is>
          <t>General Expense Growth %:</t>
        </is>
      </c>
      <c r="B7" s="44" t="n">
        <v>3</v>
      </c>
    </row>
    <row r="9">
      <c r="A9" s="45" t="inlineStr">
        <is>
          <t>Expense Category</t>
        </is>
      </c>
      <c r="B9" s="46" t="inlineStr">
        <is>
          <t>Year 1</t>
        </is>
      </c>
      <c r="C9" s="46" t="inlineStr">
        <is>
          <t>Year 2</t>
        </is>
      </c>
      <c r="D9" s="46" t="inlineStr">
        <is>
          <t>Year 3</t>
        </is>
      </c>
      <c r="E9" s="46" t="inlineStr">
        <is>
          <t>Year 4</t>
        </is>
      </c>
      <c r="F9" s="46" t="inlineStr">
        <is>
          <t>Year 5</t>
        </is>
      </c>
    </row>
    <row r="10">
      <c r="A10" s="19" t="inlineStr">
        <is>
          <t>Property Taxes</t>
        </is>
      </c>
      <c r="B10" s="16">
        <f>Actual_Expenses!B6</f>
        <v/>
      </c>
      <c r="C10" s="16">
        <f>B10*(1+$B5)</f>
        <v/>
      </c>
      <c r="D10" s="16">
        <f>C10*(1+$B5)</f>
        <v/>
      </c>
      <c r="E10" s="16">
        <f>D10*(1+$B5)</f>
        <v/>
      </c>
      <c r="F10" s="16">
        <f>E10*(1+$B5)</f>
        <v/>
      </c>
    </row>
    <row r="11">
      <c r="A11" s="19" t="inlineStr">
        <is>
          <t>Property Insurance</t>
        </is>
      </c>
      <c r="B11" s="16">
        <f>Actual_Expenses!B7</f>
        <v/>
      </c>
      <c r="C11" s="16">
        <f>B11*(1+$B6)</f>
        <v/>
      </c>
      <c r="D11" s="16">
        <f>C11*(1+$B6)</f>
        <v/>
      </c>
      <c r="E11" s="16">
        <f>D11*(1+$B6)</f>
        <v/>
      </c>
      <c r="F11" s="16">
        <f>E11*(1+$B6)</f>
        <v/>
      </c>
    </row>
    <row r="12">
      <c r="A12" s="19" t="inlineStr">
        <is>
          <t>HOA/Condo Fees</t>
        </is>
      </c>
      <c r="B12" s="16">
        <f>Actual_Expenses!B8</f>
        <v/>
      </c>
      <c r="C12" s="16">
        <f>B12*(1+$B7)</f>
        <v/>
      </c>
      <c r="D12" s="16">
        <f>C12*(1+$B7)</f>
        <v/>
      </c>
      <c r="E12" s="16">
        <f>D12*(1+$B7)</f>
        <v/>
      </c>
      <c r="F12" s="16">
        <f>E12*(1+$B7)</f>
        <v/>
      </c>
    </row>
    <row r="13">
      <c r="A13" s="19" t="inlineStr">
        <is>
          <t>Property Management</t>
        </is>
      </c>
      <c r="B13" s="16">
        <f>Actual_Expenses!B11</f>
        <v/>
      </c>
      <c r="C13" s="16">
        <f>B13*(1+$B7)</f>
        <v/>
      </c>
      <c r="D13" s="16">
        <f>C13*(1+$B7)</f>
        <v/>
      </c>
      <c r="E13" s="16">
        <f>D13*(1+$B7)</f>
        <v/>
      </c>
      <c r="F13" s="16">
        <f>E13*(1+$B7)</f>
        <v/>
      </c>
    </row>
    <row r="14">
      <c r="A14" s="19" t="inlineStr">
        <is>
          <t>Leasing/Marketing</t>
        </is>
      </c>
      <c r="B14" s="16">
        <f>Actual_Expenses!B12</f>
        <v/>
      </c>
      <c r="C14" s="16">
        <f>B14*(1+$B7)</f>
        <v/>
      </c>
      <c r="D14" s="16">
        <f>C14*(1+$B7)</f>
        <v/>
      </c>
      <c r="E14" s="16">
        <f>D14*(1+$B7)</f>
        <v/>
      </c>
      <c r="F14" s="16">
        <f>E14*(1+$B7)</f>
        <v/>
      </c>
    </row>
    <row r="15">
      <c r="A15" s="19" t="inlineStr">
        <is>
          <t>Repairs &amp; Maintenance</t>
        </is>
      </c>
      <c r="B15" s="16">
        <f>Actual_Expenses!B13</f>
        <v/>
      </c>
      <c r="C15" s="16">
        <f>B15*(1+$B7)</f>
        <v/>
      </c>
      <c r="D15" s="16">
        <f>C15*(1+$B7)</f>
        <v/>
      </c>
      <c r="E15" s="16">
        <f>D15*(1+$B7)</f>
        <v/>
      </c>
      <c r="F15" s="16">
        <f>E15*(1+$B7)</f>
        <v/>
      </c>
    </row>
    <row r="16">
      <c r="A16" s="19" t="inlineStr">
        <is>
          <t>Turnover Costs</t>
        </is>
      </c>
      <c r="B16" s="16">
        <f>Actual_Expenses!B14</f>
        <v/>
      </c>
      <c r="C16" s="16">
        <f>B16*(1+$B7)</f>
        <v/>
      </c>
      <c r="D16" s="16">
        <f>C16*(1+$B7)</f>
        <v/>
      </c>
      <c r="E16" s="16">
        <f>D16*(1+$B7)</f>
        <v/>
      </c>
      <c r="F16" s="16">
        <f>E16*(1+$B7)</f>
        <v/>
      </c>
    </row>
    <row r="17">
      <c r="A17" s="19" t="inlineStr">
        <is>
          <t>Water &amp; Sewer</t>
        </is>
      </c>
      <c r="B17" s="16">
        <f>Actual_Expenses!B17</f>
        <v/>
      </c>
      <c r="C17" s="16">
        <f>B17*(1+$B7)</f>
        <v/>
      </c>
      <c r="D17" s="16">
        <f>C17*(1+$B7)</f>
        <v/>
      </c>
      <c r="E17" s="16">
        <f>D17*(1+$B7)</f>
        <v/>
      </c>
      <c r="F17" s="16">
        <f>E17*(1+$B7)</f>
        <v/>
      </c>
    </row>
    <row r="18">
      <c r="A18" s="19" t="inlineStr">
        <is>
          <t>Trash Removal</t>
        </is>
      </c>
      <c r="B18" s="16">
        <f>Actual_Expenses!B18</f>
        <v/>
      </c>
      <c r="C18" s="16">
        <f>B18*(1+$B7)</f>
        <v/>
      </c>
      <c r="D18" s="16">
        <f>C18*(1+$B7)</f>
        <v/>
      </c>
      <c r="E18" s="16">
        <f>D18*(1+$B7)</f>
        <v/>
      </c>
      <c r="F18" s="16">
        <f>E18*(1+$B7)</f>
        <v/>
      </c>
    </row>
    <row r="19">
      <c r="A19" s="19" t="inlineStr">
        <is>
          <t>Electric (common)</t>
        </is>
      </c>
      <c r="B19" s="16">
        <f>Actual_Expenses!B19</f>
        <v/>
      </c>
      <c r="C19" s="16">
        <f>B19*(1+$B7)</f>
        <v/>
      </c>
      <c r="D19" s="16">
        <f>C19*(1+$B7)</f>
        <v/>
      </c>
      <c r="E19" s="16">
        <f>D19*(1+$B7)</f>
        <v/>
      </c>
      <c r="F19" s="16">
        <f>E19*(1+$B7)</f>
        <v/>
      </c>
    </row>
    <row r="20">
      <c r="A20" s="19" t="inlineStr">
        <is>
          <t>Gas (common)</t>
        </is>
      </c>
      <c r="B20" s="16">
        <f>Actual_Expenses!B20</f>
        <v/>
      </c>
      <c r="C20" s="16">
        <f>B20*(1+$B7)</f>
        <v/>
      </c>
      <c r="D20" s="16">
        <f>C20*(1+$B7)</f>
        <v/>
      </c>
      <c r="E20" s="16">
        <f>D20*(1+$B7)</f>
        <v/>
      </c>
      <c r="F20" s="16">
        <f>E20*(1+$B7)</f>
        <v/>
      </c>
    </row>
    <row r="21">
      <c r="A21" s="19" t="inlineStr">
        <is>
          <t>Landscaping</t>
        </is>
      </c>
      <c r="B21" s="16">
        <f>Actual_Expenses!B23</f>
        <v/>
      </c>
      <c r="C21" s="16">
        <f>B21*(1+$B7)</f>
        <v/>
      </c>
      <c r="D21" s="16">
        <f>C21*(1+$B7)</f>
        <v/>
      </c>
      <c r="E21" s="16">
        <f>D21*(1+$B7)</f>
        <v/>
      </c>
      <c r="F21" s="16">
        <f>E21*(1+$B7)</f>
        <v/>
      </c>
    </row>
    <row r="22">
      <c r="A22" s="19" t="inlineStr">
        <is>
          <t>Snow Removal</t>
        </is>
      </c>
      <c r="B22" s="16">
        <f>Actual_Expenses!B24</f>
        <v/>
      </c>
      <c r="C22" s="16">
        <f>B22*(1+$B7)</f>
        <v/>
      </c>
      <c r="D22" s="16">
        <f>C22*(1+$B7)</f>
        <v/>
      </c>
      <c r="E22" s="16">
        <f>D22*(1+$B7)</f>
        <v/>
      </c>
      <c r="F22" s="16">
        <f>E22*(1+$B7)</f>
        <v/>
      </c>
    </row>
    <row r="23">
      <c r="A23" s="19" t="inlineStr">
        <is>
          <t>Pest Control</t>
        </is>
      </c>
      <c r="B23" s="16">
        <f>Actual_Expenses!B25</f>
        <v/>
      </c>
      <c r="C23" s="16">
        <f>B23*(1+$B7)</f>
        <v/>
      </c>
      <c r="D23" s="16">
        <f>C23*(1+$B7)</f>
        <v/>
      </c>
      <c r="E23" s="16">
        <f>D23*(1+$B7)</f>
        <v/>
      </c>
      <c r="F23" s="16">
        <f>E23*(1+$B7)</f>
        <v/>
      </c>
    </row>
    <row r="24">
      <c r="A24" s="19" t="inlineStr">
        <is>
          <t>Pool/Spa Service</t>
        </is>
      </c>
      <c r="B24" s="16">
        <f>Actual_Expenses!B26</f>
        <v/>
      </c>
      <c r="C24" s="16">
        <f>B24*(1+$B7)</f>
        <v/>
      </c>
      <c r="D24" s="16">
        <f>C24*(1+$B7)</f>
        <v/>
      </c>
      <c r="E24" s="16">
        <f>D24*(1+$B7)</f>
        <v/>
      </c>
      <c r="F24" s="16">
        <f>E24*(1+$B7)</f>
        <v/>
      </c>
    </row>
    <row r="25">
      <c r="A25" s="19" t="inlineStr">
        <is>
          <t>Accounting</t>
        </is>
      </c>
      <c r="B25" s="16">
        <f>Actual_Expenses!B28</f>
        <v/>
      </c>
      <c r="C25" s="16">
        <f>B25*(1+$B7)</f>
        <v/>
      </c>
      <c r="D25" s="16">
        <f>C25*(1+$B7)</f>
        <v/>
      </c>
      <c r="E25" s="16">
        <f>D25*(1+$B7)</f>
        <v/>
      </c>
      <c r="F25" s="16">
        <f>E25*(1+$B7)</f>
        <v/>
      </c>
    </row>
    <row r="26">
      <c r="A26" s="19" t="inlineStr">
        <is>
          <t>Legal Fees</t>
        </is>
      </c>
      <c r="B26" s="16">
        <f>Actual_Expenses!B29</f>
        <v/>
      </c>
      <c r="C26" s="16">
        <f>B26*(1+$B7)</f>
        <v/>
      </c>
      <c r="D26" s="16">
        <f>C26*(1+$B7)</f>
        <v/>
      </c>
      <c r="E26" s="16">
        <f>D26*(1+$B7)</f>
        <v/>
      </c>
      <c r="F26" s="16">
        <f>E26*(1+$B7)</f>
        <v/>
      </c>
    </row>
    <row r="27">
      <c r="A27" s="19" t="inlineStr">
        <is>
          <t>Office Supplies</t>
        </is>
      </c>
      <c r="B27" s="16">
        <f>Actual_Expenses!B30</f>
        <v/>
      </c>
      <c r="C27" s="16">
        <f>B27*(1+$B7)</f>
        <v/>
      </c>
      <c r="D27" s="16">
        <f>C27*(1+$B7)</f>
        <v/>
      </c>
      <c r="E27" s="16">
        <f>D27*(1+$B7)</f>
        <v/>
      </c>
      <c r="F27" s="16">
        <f>E27*(1+$B7)</f>
        <v/>
      </c>
    </row>
    <row r="28">
      <c r="A28" s="19" t="inlineStr">
        <is>
          <t>Professional Fees</t>
        </is>
      </c>
      <c r="B28" s="16">
        <f>Actual_Expenses!B31</f>
        <v/>
      </c>
      <c r="C28" s="16">
        <f>B28*(1+$B7)</f>
        <v/>
      </c>
      <c r="D28" s="16">
        <f>C28*(1+$B7)</f>
        <v/>
      </c>
      <c r="E28" s="16">
        <f>D28*(1+$B7)</f>
        <v/>
      </c>
      <c r="F28" s="16">
        <f>E28*(1+$B7)</f>
        <v/>
      </c>
    </row>
    <row r="29">
      <c r="A29" s="19" t="inlineStr">
        <is>
          <t>Security</t>
        </is>
      </c>
      <c r="B29" s="16">
        <f>Actual_Expenses!B33</f>
        <v/>
      </c>
      <c r="C29" s="16">
        <f>B29*(1+$B7)</f>
        <v/>
      </c>
      <c r="D29" s="16">
        <f>C29*(1+$B7)</f>
        <v/>
      </c>
      <c r="E29" s="16">
        <f>D29*(1+$B7)</f>
        <v/>
      </c>
      <c r="F29" s="16">
        <f>E29*(1+$B7)</f>
        <v/>
      </c>
    </row>
    <row r="30">
      <c r="A30" s="19" t="inlineStr">
        <is>
          <t>Elevator Service</t>
        </is>
      </c>
      <c r="B30" s="16">
        <f>Actual_Expenses!B34</f>
        <v/>
      </c>
      <c r="C30" s="16">
        <f>B30*(1+$B7)</f>
        <v/>
      </c>
      <c r="D30" s="16">
        <f>C30*(1+$B7)</f>
        <v/>
      </c>
      <c r="E30" s="16">
        <f>D30*(1+$B7)</f>
        <v/>
      </c>
      <c r="F30" s="16">
        <f>E30*(1+$B7)</f>
        <v/>
      </c>
    </row>
    <row r="31">
      <c r="A31" s="19" t="inlineStr">
        <is>
          <t>License/Permits</t>
        </is>
      </c>
      <c r="B31" s="16">
        <f>Actual_Expenses!B35</f>
        <v/>
      </c>
      <c r="C31" s="16">
        <f>B31*(1+$B7)</f>
        <v/>
      </c>
      <c r="D31" s="16">
        <f>C31*(1+$B7)</f>
        <v/>
      </c>
      <c r="E31" s="16">
        <f>D31*(1+$B7)</f>
        <v/>
      </c>
      <c r="F31" s="16">
        <f>E31*(1+$B7)</f>
        <v/>
      </c>
    </row>
    <row r="32">
      <c r="A32" s="19" t="inlineStr">
        <is>
          <t>Miscellaneous</t>
        </is>
      </c>
      <c r="B32" s="16">
        <f>Actual_Expenses!B36</f>
        <v/>
      </c>
      <c r="C32" s="16">
        <f>B32*(1+$B7)</f>
        <v/>
      </c>
      <c r="D32" s="16">
        <f>C32*(1+$B7)</f>
        <v/>
      </c>
      <c r="E32" s="16">
        <f>D32*(1+$B7)</f>
        <v/>
      </c>
      <c r="F32" s="16">
        <f>E32*(1+$B7)</f>
        <v/>
      </c>
    </row>
    <row r="33">
      <c r="A33" s="6" t="inlineStr">
        <is>
          <t>TOTAL OPERATING EXPENSES</t>
        </is>
      </c>
      <c r="B33" s="22">
        <f>SUM(B10:B32)</f>
        <v/>
      </c>
      <c r="C33" s="22">
        <f>SUM(C10:C32)</f>
        <v/>
      </c>
      <c r="D33" s="22">
        <f>SUM(D10:D32)</f>
        <v/>
      </c>
      <c r="E33" s="22">
        <f>SUM(E10:E32)</f>
        <v/>
      </c>
      <c r="F33" s="22">
        <f>SUM(F10:F32)</f>
        <v/>
      </c>
    </row>
    <row r="35">
      <c r="A35" s="11" t="inlineStr">
        <is>
          <t>KEY METRICS OVER TIME</t>
        </is>
      </c>
    </row>
    <row r="36">
      <c r="A36" s="47" t="inlineStr">
        <is>
          <t>OpEx Per Unit</t>
        </is>
      </c>
      <c r="B36" s="16">
        <f>B33/Property_Info!$B$7</f>
        <v/>
      </c>
      <c r="C36" s="16">
        <f>C33/Property_Info!$B$7</f>
        <v/>
      </c>
      <c r="D36" s="16">
        <f>D33/Property_Info!$B$7</f>
        <v/>
      </c>
      <c r="E36" s="16">
        <f>E33/Property_Info!$B$7</f>
        <v/>
      </c>
      <c r="F36" s="16">
        <f>F33/Property_Info!$B$7</f>
        <v/>
      </c>
    </row>
    <row r="37">
      <c r="A37" s="47" t="inlineStr">
        <is>
          <t>OpEx Growth Rate %</t>
        </is>
      </c>
      <c r="B37" s="13" t="inlineStr">
        <is>
          <t>N/A</t>
        </is>
      </c>
      <c r="C37" s="21">
        <f>(C33/B33)-1</f>
        <v/>
      </c>
      <c r="D37" s="21">
        <f>(D33/C33)-1</f>
        <v/>
      </c>
      <c r="E37" s="21">
        <f>(E33/D33)-1</f>
        <v/>
      </c>
      <c r="F37" s="21">
        <f>(F33/E33)-1</f>
        <v/>
      </c>
    </row>
  </sheetData>
  <mergeCells count="4">
    <mergeCell ref="A2:G2"/>
    <mergeCell ref="A1:G1"/>
    <mergeCell ref="A35:G35"/>
    <mergeCell ref="A4:G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026522-84DF-4F50-B94D-F87A0DB28252}"/>
</file>

<file path=customXml/itemProps2.xml><?xml version="1.0" encoding="utf-8"?>
<ds:datastoreItem xmlns:ds="http://schemas.openxmlformats.org/officeDocument/2006/customXml" ds:itemID="{E57BFF98-D35A-434B-A1E4-DA12B38BD9EC}"/>
</file>

<file path=customXml/itemProps3.xml><?xml version="1.0" encoding="utf-8"?>
<ds:datastoreItem xmlns:ds="http://schemas.openxmlformats.org/officeDocument/2006/customXml" ds:itemID="{F49EE118-6474-4AB5-8577-4DCB246DE2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2025-12-13T22:44:41Z</dcterms:created>
  <dcterms:modified xsi:type="dcterms:W3CDTF">2025-12-13T22:47:39Z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