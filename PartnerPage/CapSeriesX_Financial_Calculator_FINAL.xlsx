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ryptoassetrating.sharepoint.com/sites/PramodAllDocs/India Business Models/Sales &amp; Marketing/USA Sales and Marketing/Marketing Material - FINAL/VEEP Capital/CapSeriesX/"/>
    </mc:Choice>
  </mc:AlternateContent>
  <xr:revisionPtr revIDLastSave="6" documentId="8_{71836D76-BC06-476A-BE89-592B736FEF86}" xr6:coauthVersionLast="47" xr6:coauthVersionMax="47" xr10:uidLastSave="{DE4FCE71-EE03-4B2E-8D34-EE9B51150E60}"/>
  <bookViews>
    <workbookView xWindow="-110" yWindow="-110" windowWidth="19420" windowHeight="11500" tabRatio="1000" xr2:uid="{00000000-000D-0000-FFFF-FFFF00000000}"/>
  </bookViews>
  <sheets>
    <sheet name="⚠️ DISCLAIMER &amp; LEGAL" sheetId="1" r:id="rId1"/>
    <sheet name="📝 INPUT VALUES" sheetId="2" r:id="rId2"/>
    <sheet name="1️⃣ Acquisition" sheetId="3" r:id="rId3"/>
    <sheet name="2️⃣ Year 1 Pro Forma" sheetId="4" r:id="rId4"/>
    <sheet name="3️⃣ 5-Year Projections" sheetId="5" r:id="rId5"/>
    <sheet name="4️⃣ 10-Year Projections" sheetId="6" r:id="rId6"/>
    <sheet name="5️⃣ Financing &amp; Returns" sheetId="7" r:id="rId7"/>
    <sheet name="6️⃣ Exit Analysis" sheetId="8" r:id="rId8"/>
    <sheet name="7️⃣ Summary Dashboard" sheetId="9" r:id="rId9"/>
  </sheets>
  <definedNames>
    <definedName name="Administrative">'📝 INPUT VALUES'!$B$45</definedName>
    <definedName name="Amortization">'📝 INPUT VALUES'!$B$53</definedName>
    <definedName name="City">'📝 INPUT VALUES'!$B$12</definedName>
    <definedName name="ClosingCosts">'📝 INPUT VALUES'!$B$24</definedName>
    <definedName name="Contingency">'📝 INPUT VALUES'!$B$27</definedName>
    <definedName name="ExitCapRate">'📝 INPUT VALUES'!$B$58</definedName>
    <definedName name="ExpenseGrowth">'📝 INPUT VALUES'!$B$57</definedName>
    <definedName name="FFE">'📝 INPUT VALUES'!$B$26</definedName>
    <definedName name="FinancingFees">'📝 INPUT VALUES'!$B$28</definedName>
    <definedName name="GrossRent">'📝 INPUT VALUES'!$B$34</definedName>
    <definedName name="HoldPeriod">'📝 INPUT VALUES'!$B$20</definedName>
    <definedName name="Insurance">'📝 INPUT VALUES'!$B$40</definedName>
    <definedName name="InterestRate">'📝 INPUT VALUES'!$B$51</definedName>
    <definedName name="Landscaping">'📝 INPUT VALUES'!$B$44</definedName>
    <definedName name="LoanAmount">'📝 INPUT VALUES'!$B$50</definedName>
    <definedName name="LoanTerm">'📝 INPUT VALUES'!$B$52</definedName>
    <definedName name="Marketing">'📝 INPUT VALUES'!$B$46</definedName>
    <definedName name="MarketingCosts">'📝 INPUT VALUES'!$B$30</definedName>
    <definedName name="MgmtPct">'📝 INPUT VALUES'!$B$41</definedName>
    <definedName name="Occupancy">'📝 INPUT VALUES'!$B$19</definedName>
    <definedName name="OtherAcqCosts">'📝 INPUT VALUES'!$B$31</definedName>
    <definedName name="OtherIncome">'📝 INPUT VALUES'!$B$35</definedName>
    <definedName name="OtherOpex">'📝 INPUT VALUES'!$B$47</definedName>
    <definedName name="PropName">'📝 INPUT VALUES'!$B$11</definedName>
    <definedName name="PropTaxes">'📝 INPUT VALUES'!$B$39</definedName>
    <definedName name="PropType">'📝 INPUT VALUES'!$B$15</definedName>
    <definedName name="PurchasePrice">'📝 INPUT VALUES'!$B$23</definedName>
    <definedName name="RenovationBudget">'📝 INPUT VALUES'!$B$25</definedName>
    <definedName name="RentGrowth">'📝 INPUT VALUES'!$B$56</definedName>
    <definedName name="Repairs">'📝 INPUT VALUES'!$B$42</definedName>
    <definedName name="SqFt">'📝 INPUT VALUES'!$B$17</definedName>
    <definedName name="State">'📝 INPUT VALUES'!$B$13</definedName>
    <definedName name="Units">'📝 INPUT VALUES'!$B$16</definedName>
    <definedName name="Utilities">'📝 INPUT VALUES'!$B$43</definedName>
    <definedName name="VacancyRate">'📝 INPUT VALUES'!$B$36</definedName>
    <definedName name="WorkingCapital">'📝 INPUT VALUES'!$B$29</definedName>
    <definedName name="Year10NOI">'4️⃣ 10-Year Projections'!$K$12</definedName>
    <definedName name="Year1CashFlow">'5️⃣ Financing &amp; Returns'!$B$24</definedName>
    <definedName name="Year1EGI">'2️⃣ Year 1 Pro Forma'!$B$12</definedName>
    <definedName name="Year1NOI">'2️⃣ Year 1 Pro Forma'!$B$27</definedName>
    <definedName name="Year5NOI">'3️⃣ 5-Year Projections'!$F$12</definedName>
    <definedName name="YearBuilt">'📝 INPUT VALUES'!$B$18</definedName>
    <definedName name="ZipCode">'📝 INPUT VALUES'!$B$14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9" l="1"/>
  <c r="B38" i="9"/>
  <c r="B28" i="9"/>
  <c r="B22" i="9"/>
  <c r="B21" i="9"/>
  <c r="B18" i="9"/>
  <c r="B13" i="9"/>
  <c r="B9" i="9"/>
  <c r="B8" i="9"/>
  <c r="B7" i="9"/>
  <c r="B6" i="9"/>
  <c r="B5" i="9"/>
  <c r="B4" i="9"/>
  <c r="B13" i="8"/>
  <c r="B5" i="8"/>
  <c r="B4" i="8"/>
  <c r="B23" i="7"/>
  <c r="B17" i="7"/>
  <c r="B20" i="9" s="1"/>
  <c r="B13" i="7"/>
  <c r="B8" i="7"/>
  <c r="B9" i="7" s="1"/>
  <c r="B7" i="7"/>
  <c r="B6" i="7"/>
  <c r="B5" i="7"/>
  <c r="B4" i="7"/>
  <c r="B5" i="6"/>
  <c r="C5" i="6" s="1"/>
  <c r="D5" i="6" s="1"/>
  <c r="E5" i="6" s="1"/>
  <c r="F5" i="6" s="1"/>
  <c r="G5" i="6" s="1"/>
  <c r="H5" i="6" s="1"/>
  <c r="I5" i="6" s="1"/>
  <c r="J5" i="6" s="1"/>
  <c r="K5" i="6" s="1"/>
  <c r="B4" i="6"/>
  <c r="B6" i="6" s="1"/>
  <c r="B5" i="5"/>
  <c r="B6" i="5" s="1"/>
  <c r="C4" i="5"/>
  <c r="B4" i="5"/>
  <c r="B23" i="4"/>
  <c r="B22" i="4"/>
  <c r="B21" i="4"/>
  <c r="B20" i="4"/>
  <c r="B19" i="4"/>
  <c r="B18" i="4"/>
  <c r="B16" i="4"/>
  <c r="B15" i="4"/>
  <c r="B9" i="4"/>
  <c r="B5" i="4"/>
  <c r="B4" i="4"/>
  <c r="B6" i="4" s="1"/>
  <c r="B12" i="3"/>
  <c r="B11" i="3"/>
  <c r="B14" i="3" s="1"/>
  <c r="B10" i="3"/>
  <c r="B9" i="3"/>
  <c r="B8" i="3"/>
  <c r="B7" i="3"/>
  <c r="B6" i="3"/>
  <c r="B5" i="3"/>
  <c r="B4" i="3"/>
  <c r="B12" i="9" l="1"/>
  <c r="B12" i="7"/>
  <c r="B18" i="3"/>
  <c r="B15" i="9" s="1"/>
  <c r="B17" i="3"/>
  <c r="B14" i="9" s="1"/>
  <c r="B7" i="5"/>
  <c r="B8" i="5" s="1"/>
  <c r="B10" i="4"/>
  <c r="B12" i="4" s="1"/>
  <c r="B7" i="6"/>
  <c r="B8" i="6" s="1"/>
  <c r="C5" i="5"/>
  <c r="D5" i="5" s="1"/>
  <c r="E5" i="5" s="1"/>
  <c r="F5" i="5" s="1"/>
  <c r="C4" i="6"/>
  <c r="D4" i="5"/>
  <c r="B25" i="9" l="1"/>
  <c r="B17" i="4"/>
  <c r="B25" i="4" s="1"/>
  <c r="B30" i="4"/>
  <c r="B35" i="9" s="1"/>
  <c r="B32" i="4"/>
  <c r="B27" i="4"/>
  <c r="C6" i="6"/>
  <c r="D4" i="6"/>
  <c r="B14" i="7"/>
  <c r="B19" i="7"/>
  <c r="B18" i="7"/>
  <c r="C6" i="5"/>
  <c r="D6" i="5"/>
  <c r="E4" i="5"/>
  <c r="D6" i="6" l="1"/>
  <c r="E4" i="6"/>
  <c r="D7" i="5"/>
  <c r="D8" i="5" s="1"/>
  <c r="C7" i="5"/>
  <c r="C8" i="5" s="1"/>
  <c r="B19" i="9"/>
  <c r="B18" i="8"/>
  <c r="C7" i="6"/>
  <c r="C8" i="6"/>
  <c r="B27" i="7"/>
  <c r="B32" i="9" s="1"/>
  <c r="B22" i="7"/>
  <c r="B34" i="4"/>
  <c r="B27" i="9"/>
  <c r="B31" i="4"/>
  <c r="B10" i="6"/>
  <c r="B33" i="4"/>
  <c r="B10" i="5"/>
  <c r="B26" i="9"/>
  <c r="E6" i="5"/>
  <c r="F4" i="5"/>
  <c r="F6" i="5" s="1"/>
  <c r="B24" i="7" l="1"/>
  <c r="B30" i="7"/>
  <c r="B29" i="7"/>
  <c r="B34" i="9" s="1"/>
  <c r="C12" i="6"/>
  <c r="F7" i="5"/>
  <c r="F8" i="5" s="1"/>
  <c r="F12" i="5" s="1"/>
  <c r="B6" i="8" s="1"/>
  <c r="B9" i="8" s="1"/>
  <c r="F4" i="6"/>
  <c r="E6" i="6"/>
  <c r="E7" i="5"/>
  <c r="E8" i="5" s="1"/>
  <c r="E12" i="5" s="1"/>
  <c r="C10" i="5"/>
  <c r="D10" i="5" s="1"/>
  <c r="E10" i="5" s="1"/>
  <c r="F10" i="5" s="1"/>
  <c r="B12" i="5"/>
  <c r="C10" i="6"/>
  <c r="D10" i="6" s="1"/>
  <c r="E10" i="6" s="1"/>
  <c r="F10" i="6" s="1"/>
  <c r="G10" i="6" s="1"/>
  <c r="H10" i="6" s="1"/>
  <c r="I10" i="6" s="1"/>
  <c r="J10" i="6" s="1"/>
  <c r="K10" i="6" s="1"/>
  <c r="B12" i="6"/>
  <c r="D8" i="6"/>
  <c r="D12" i="6" s="1"/>
  <c r="D7" i="6"/>
  <c r="B40" i="9" l="1"/>
  <c r="B10" i="8"/>
  <c r="B11" i="8" s="1"/>
  <c r="B15" i="8" s="1"/>
  <c r="B20" i="8" s="1"/>
  <c r="G4" i="6"/>
  <c r="F6" i="6"/>
  <c r="E7" i="6"/>
  <c r="E8" i="6"/>
  <c r="E12" i="6" s="1"/>
  <c r="B19" i="8"/>
  <c r="B29" i="9"/>
  <c r="B28" i="7"/>
  <c r="B33" i="9" s="1"/>
  <c r="D12" i="5"/>
  <c r="C12" i="5"/>
  <c r="F7" i="6" l="1"/>
  <c r="F8" i="6"/>
  <c r="F12" i="6" s="1"/>
  <c r="B21" i="8"/>
  <c r="H4" i="6"/>
  <c r="G6" i="6"/>
  <c r="G7" i="6" l="1"/>
  <c r="G8" i="6"/>
  <c r="G12" i="6" s="1"/>
  <c r="I4" i="6"/>
  <c r="H6" i="6"/>
  <c r="B41" i="9"/>
  <c r="B25" i="8"/>
  <c r="B26" i="8"/>
  <c r="H7" i="6" l="1"/>
  <c r="H8" i="6"/>
  <c r="H12" i="6" s="1"/>
  <c r="B42" i="9"/>
  <c r="B27" i="8"/>
  <c r="B43" i="9" s="1"/>
  <c r="J4" i="6"/>
  <c r="I6" i="6"/>
  <c r="I7" i="6" l="1"/>
  <c r="I8" i="6" s="1"/>
  <c r="I12" i="6" s="1"/>
  <c r="K4" i="6"/>
  <c r="K6" i="6" s="1"/>
  <c r="J6" i="6"/>
  <c r="J7" i="6" l="1"/>
  <c r="J8" i="6" s="1"/>
  <c r="J12" i="6" s="1"/>
  <c r="K7" i="6"/>
  <c r="K8" i="6" s="1"/>
  <c r="K12" i="6" s="1"/>
</calcChain>
</file>

<file path=xl/sharedStrings.xml><?xml version="1.0" encoding="utf-8"?>
<sst xmlns="http://schemas.openxmlformats.org/spreadsheetml/2006/main" count="362" uniqueCount="323">
  <si>
    <t>IMPORTANT LEGAL NOTICE - READ BEFORE USE</t>
  </si>
  <si>
    <t>COPYRIGHT NOTICE</t>
  </si>
  <si>
    <t>© 2024 DeFi Assets LLC. All Rights Reserved.</t>
  </si>
  <si>
    <t>This CapSeriesX Financial Calculator (the 'Calculator') is proprietary material owned by DeFi Assets LLC, a subsidiary of Apex DeFi Labs Inc. This Calculator and all associated documentation, templates, and materials are protected by United States and international copyright laws and treaties.</t>
  </si>
  <si>
    <t>Unauthorized reproduction, distribution, modification, public display, or creation of derivative works from this Calculator is strictly prohibited and may result in severe civil and criminal penalties.</t>
  </si>
  <si>
    <t>CONFIDENTIAL AND PROPRIETARY INFORMATION</t>
  </si>
  <si>
    <t>This Calculator contains confidential and proprietary information belonging to DeFi Assets LLC and CapSeriesX. By accessing and using this Calculator, you acknowledge that:</t>
  </si>
  <si>
    <t>1. CONFIDENTIALITY OBLIGATION: All information contained herein, including methodologies, formulas, assumptions, default values, and the structure of the Calculator itself, constitutes confidential and proprietary information ('Confidential Information').</t>
  </si>
  <si>
    <t>2. NON-DISCLOSURE AGREEMENT: Use of this Calculator is subject to the Non-Disclosure Agreement (NDA) executed between you and DeFi Assets LLC. All terms and conditions of that NDA are incorporated herein by reference and remain in full force and effect.</t>
  </si>
  <si>
    <t>3. PERMITTED USE: This Calculator may be used solely for the purpose of preparing property submission packages to CapSeriesX in accordance with your Partnership Agreement. Any other use is expressly prohibited.</t>
  </si>
  <si>
    <t>4. NO REDISTRIBUTION: You may NOT share, distribute, or provide access to this Calculator to any third party without prior written consent from DeFi Assets LLC. This includes but is not limited to property owners, investors, brokers, or other partners.</t>
  </si>
  <si>
    <t>5. PROTECTION MEASURES: This Calculator is password-protected. You must not share the password with unauthorized parties or attempt to circumvent the protection mechanisms.</t>
  </si>
  <si>
    <t>DISCLAIMER OF WARRANTIES</t>
  </si>
  <si>
    <t>THIS CALCULATOR IS PROVIDED 'AS IS' WITHOUT WARRANTY OF ANY KIND, EXPRESS OR IMPLIED, INCLUDING BUT NOT LIMITED TO THE WARRANTIES OF MERCHANTABILITY, FITNESS FOR A PARTICULAR PURPOSE, AND NON-INFRINGEMENT.</t>
  </si>
  <si>
    <t>DeFi Assets LLC makes no representations or warranties regarding:</t>
  </si>
  <si>
    <t>• The accuracy, completeness, or reliability of calculations</t>
  </si>
  <si>
    <t>• The suitability of default assumptions for any specific property or market</t>
  </si>
  <si>
    <t>• The performance of any investment analyzed using this Calculator</t>
  </si>
  <si>
    <t>• The compliance of your inputs or analysis with applicable laws or regulations</t>
  </si>
  <si>
    <t>LIMITATION OF LIABILITY</t>
  </si>
  <si>
    <t>IN NO EVENT SHALL DeFi Assets LLC, APEX DeFi LABS INC., CAPSERIESX, OR THEIR RESPECTIVE OFFICERS, DIRECTORS, EMPLOYEES, AGENTS, OR AFFILIATES BE LIABLE FOR ANY DIRECT, INDIRECT, INCIDENTAL, SPECIAL, CONSEQUENTIAL, OR PUNITIVE DAMAGES ARISING OUT OF OR RELATED TO:</t>
  </si>
  <si>
    <t>• Your use or inability to use this Calculator</t>
  </si>
  <si>
    <t>• Any errors or omissions in calculations or results</t>
  </si>
  <si>
    <t>• Any investment decisions made based on analysis from this Calculator</t>
  </si>
  <si>
    <t>• Any breach of confidentiality by you or any third party</t>
  </si>
  <si>
    <t>• Any unauthorized access to or use of this Calculator</t>
  </si>
  <si>
    <t>YOUR SOLE REMEDY FOR DISSATISFACTION WITH THIS CALCULATOR IS TO STOP USING IT.</t>
  </si>
  <si>
    <t>NOT INVESTMENT, LEGAL, OR TAX ADVICE</t>
  </si>
  <si>
    <t>This Calculator is a financial modeling tool only. It does NOT constitute:</t>
  </si>
  <si>
    <t>• Investment advice or recommendations</t>
  </si>
  <si>
    <t>• Legal advice or legal opinions</t>
  </si>
  <si>
    <t>• Tax advice or tax planning</t>
  </si>
  <si>
    <t>• An offer to sell or solicitation to buy any securities</t>
  </si>
  <si>
    <t>• A guarantee or projection of future performance</t>
  </si>
  <si>
    <t>You are solely responsible for:</t>
  </si>
  <si>
    <t>• Verifying all inputs and assumptions</t>
  </si>
  <si>
    <t>• Conducting proper due diligence on properties</t>
  </si>
  <si>
    <t>• Consulting with qualified legal, tax, and financial advisors</t>
  </si>
  <si>
    <t>• Ensuring compliance with all applicable laws and regulations</t>
  </si>
  <si>
    <t>• Making your own independent investment decisions</t>
  </si>
  <si>
    <t>SECURITIES LAW COMPLIANCE</t>
  </si>
  <si>
    <t>IMPORTANT: Real estate securities offerings are subject to federal and state securities laws, including but not limited to the Securities Act of 1933 and applicable state Blue Sky laws.</t>
  </si>
  <si>
    <t>• This Calculator does NOT ensure SEC compliance for any offering</t>
  </si>
  <si>
    <t>• You must engage qualified securities counsel before making any offering</t>
  </si>
  <si>
    <t>• Failure to comply with securities laws can result in severe penalties</t>
  </si>
  <si>
    <t>• No communications with potential investors should be made without legal review</t>
  </si>
  <si>
    <t>DeFi Assets LLC is not a registered broker-dealer, investment advisor, or legal firm and does not provide securities law compliance services.</t>
  </si>
  <si>
    <t>DATA ACCURACY AND USER RESPONSIBILITY</t>
  </si>
  <si>
    <t>While DeFi Assets LLC has made reasonable efforts to ensure the accuracy of formulas and calculations in this Calculator, YOU ARE SOLELY RESPONSIBLE FOR:</t>
  </si>
  <si>
    <t>1. Verifying the accuracy of all outputs</t>
  </si>
  <si>
    <t>2. Ensuring all inputs are accurate and complete</t>
  </si>
  <si>
    <t>3. Validating that calculations meet your specific requirements</t>
  </si>
  <si>
    <t>4. Cross-checking results with qualified professionals</t>
  </si>
  <si>
    <t>5. Confirming compliance with industry standards and best practices</t>
  </si>
  <si>
    <t>Sample data and default values are for illustrative purposes only and should not be relied upon as representative of any specific property or market.</t>
  </si>
  <si>
    <t>PASSWORD AND SECURITY</t>
  </si>
  <si>
    <t>This Calculator is protected by password security:</t>
  </si>
  <si>
    <t>This password protects the formula cells from accidental modification. You may use this password to:</t>
  </si>
  <si>
    <t>• View protected formulas (not recommended for non-technical users)</t>
  </si>
  <si>
    <t>• Troubleshoot calculation issues with CapSeriesX support</t>
  </si>
  <si>
    <t>DO NOT:</t>
  </si>
  <si>
    <t>• Share this password with unauthorized third parties</t>
  </si>
  <si>
    <t>• Modify protected formulas without authorization</t>
  </si>
  <si>
    <t>• Remove or disable protection mechanisms</t>
  </si>
  <si>
    <t>• Create unprotected copies for distribution</t>
  </si>
  <si>
    <t>Unauthorized modification of formulas may void any support obligations and may constitute a breach of your agreements with DeFi Assets LLC.</t>
  </si>
  <si>
    <t>PARTNER OBLIGATIONS</t>
  </si>
  <si>
    <t>As a CapSeriesX Partner, you acknowledge and agree that:</t>
  </si>
  <si>
    <t>1. NDA BINDING: You are bound by the Non-Disclosure Agreement executed with DeFi Assets LLC, and all terms therein apply to this Calculator.</t>
  </si>
  <si>
    <t>2. CONFIDENTIALITY: You will maintain the confidentiality of this Calculator, the password, and all methodologies contained herein.</t>
  </si>
  <si>
    <t>3. LIMITED LICENSE: You have a non-exclusive, non-transferable, revocable license to use this Calculator solely for preparing property submissions to CapSeriesX.</t>
  </si>
  <si>
    <t>4. NO COMPETING USE: You will not use this Calculator to compete with CapSeriesX or DeFi Assets LLC, nor to develop competing products or services.</t>
  </si>
  <si>
    <t>5. RETURN OF MATERIALS: Upon termination of your Partnership Agreement, you will immediately cease using this Calculator and will delete or return all copies in your possession.</t>
  </si>
  <si>
    <t>6. REPORTING BREACHES: You will immediately report any unauthorized use, disclosure, or security breach involving this Calculator.</t>
  </si>
  <si>
    <t>MODIFICATIONS AND UPDATES</t>
  </si>
  <si>
    <t>DeFi Assets LLC reserves the right to:</t>
  </si>
  <si>
    <t>• Modify, update, or discontinue this Calculator at any time without notice</t>
  </si>
  <si>
    <t>• Change formulas, methodologies, or assumptions</t>
  </si>
  <si>
    <t>• Update password protection or security measures</t>
  </si>
  <si>
    <t>• Revoke access for any partner at any time</t>
  </si>
  <si>
    <t>Your continued use of the Calculator after modifications constitutes acceptance of those changes.</t>
  </si>
  <si>
    <t>INDEMNIFICATION</t>
  </si>
  <si>
    <t>You agree to indemnify, defend, and hold harmless DeFi Assets LLC, Apex DeFi Labs Inc., CapSeriesX, and their respective officers, directors, employees, agents, and affiliates from and against any and all claims, damages, losses, liabilities, costs, and expenses (including reasonable attorneys' fees) arising out of or related to:</t>
  </si>
  <si>
    <t>• Your use or misuse of this Calculator</t>
  </si>
  <si>
    <t>• Your breach of any terms or obligations herein</t>
  </si>
  <si>
    <t>• Your breach of the NDA or Partnership Agreement</t>
  </si>
  <si>
    <t>• Any investment decisions or transactions based on your use of this Calculator</t>
  </si>
  <si>
    <t>• Any unauthorized disclosure or use of Confidential Information</t>
  </si>
  <si>
    <t>• Any violation of securities laws or regulations</t>
  </si>
  <si>
    <t>GOVERNING LAW AND JURISDICTION</t>
  </si>
  <si>
    <t>This disclaimer and all matters relating to the Calculator shall be governed by and construed in accordance with the laws of the State of Delaware, without regard to its conflict of law provisions.</t>
  </si>
  <si>
    <t>Any disputes arising out of or related to this Calculator shall be subject to the exclusive jurisdiction of the state and federal courts located in Delaware, and you hereby consent to the personal jurisdiction of such courts.</t>
  </si>
  <si>
    <t>SEVERABILITY</t>
  </si>
  <si>
    <t>If any provision of this disclaimer is found to be invalid or unenforceable, the remaining provisions shall continue in full force and effect.</t>
  </si>
  <si>
    <t>CONTACT INFORMATION</t>
  </si>
  <si>
    <t>For questions regarding this Calculator or to report security issues:</t>
  </si>
  <si>
    <t>Email: partners@veepcapital.com</t>
  </si>
  <si>
    <t>Website: www.veepcapital.com</t>
  </si>
  <si>
    <t>For legal or compliance matters:</t>
  </si>
  <si>
    <t>DeFi Assets LLC</t>
  </si>
  <si>
    <t>c/o Apex DeFi Labs Inc.</t>
  </si>
  <si>
    <t>[Legal Department]</t>
  </si>
  <si>
    <t>ACKNOWLEDGMENT</t>
  </si>
  <si>
    <t>BY USING THIS CALCULATOR, YOU ACKNOWLEDGE THAT:</t>
  </si>
  <si>
    <t>✓ You have read and understood this entire disclaimer</t>
  </si>
  <si>
    <t>✓ You agree to be bound by all terms and conditions herein</t>
  </si>
  <si>
    <t>✓ You are bound by your NDA with DeFi Assets LLC</t>
  </si>
  <si>
    <t>✓ You accept all risks associated with using this Calculator</t>
  </si>
  <si>
    <t>✓ You understand this is not investment, legal, or tax advice</t>
  </si>
  <si>
    <t>✓ You will maintain confidentiality of all Confidential Information</t>
  </si>
  <si>
    <t>✓ You will not redistribute or share this Calculator without authorization</t>
  </si>
  <si>
    <t>IF YOU DO NOT AGREE TO THESE TERMS, DO NOT USE THIS CALCULATOR.</t>
  </si>
  <si>
    <t>Version: 1.0</t>
  </si>
  <si>
    <t>Last Updated: December 8, 2024</t>
  </si>
  <si>
    <t>ALL INPUT VALUES - ENTER YOUR DATA HERE</t>
  </si>
  <si>
    <t>INSTRUCTIONS:</t>
  </si>
  <si>
    <t>1. Enter all your property data in the YELLOW cells below</t>
  </si>
  <si>
    <t>2. All other worksheets will automatically calculate</t>
  </si>
  <si>
    <t>3. Do NOT edit cells in other sheets - they contain formulas</t>
  </si>
  <si>
    <t>4. This sheet is the ONLY place you need to enter data</t>
  </si>
  <si>
    <t>PROPERTY BASIC INFORMATION</t>
  </si>
  <si>
    <t>Description</t>
  </si>
  <si>
    <t>Your Input</t>
  </si>
  <si>
    <t>Notes/Instructions</t>
  </si>
  <si>
    <t>Property Name/Address</t>
  </si>
  <si>
    <t>123 Main Street</t>
  </si>
  <si>
    <t>Full property address</t>
  </si>
  <si>
    <t>City</t>
  </si>
  <si>
    <t>Austin</t>
  </si>
  <si>
    <t>State</t>
  </si>
  <si>
    <t>TX</t>
  </si>
  <si>
    <t>ZIP Code</t>
  </si>
  <si>
    <t>78701</t>
  </si>
  <si>
    <t>Property Type</t>
  </si>
  <si>
    <t>Multi-Family</t>
  </si>
  <si>
    <t>Single-Family, Multi-Family, Commercial, etc.</t>
  </si>
  <si>
    <t>Number of Units</t>
  </si>
  <si>
    <t>Total rentable units</t>
  </si>
  <si>
    <t>Total Square Footage</t>
  </si>
  <si>
    <t>Total building square footage</t>
  </si>
  <si>
    <t>Year Built</t>
  </si>
  <si>
    <t>Current Occupancy %</t>
  </si>
  <si>
    <t>Enter as number (e.g., 95 for 95%)</t>
  </si>
  <si>
    <t>Hold Period (Years)</t>
  </si>
  <si>
    <t>Planned years to hold property</t>
  </si>
  <si>
    <t>ACQUISITION COSTS</t>
  </si>
  <si>
    <t>Purchase Price</t>
  </si>
  <si>
    <t>Agreed purchase price</t>
  </si>
  <si>
    <t>Closing Costs</t>
  </si>
  <si>
    <t>Title, escrow, legal fees (2-3% typical)</t>
  </si>
  <si>
    <t>Renovation Budget</t>
  </si>
  <si>
    <t>All improvement costs</t>
  </si>
  <si>
    <t>FF&amp;E (Furniture/Fixtures)</t>
  </si>
  <si>
    <t>If applicable</t>
  </si>
  <si>
    <t>Contingency Reserve</t>
  </si>
  <si>
    <t>5-10% of renovation budget</t>
  </si>
  <si>
    <t>Financing Fees</t>
  </si>
  <si>
    <t>Loan origination, points</t>
  </si>
  <si>
    <t>Working Capital Reserve</t>
  </si>
  <si>
    <t>Operating reserve</t>
  </si>
  <si>
    <t>Marketing/Lease-Up Costs</t>
  </si>
  <si>
    <t>If repositioning</t>
  </si>
  <si>
    <t>Other Acquisition Costs</t>
  </si>
  <si>
    <t>Any other costs</t>
  </si>
  <si>
    <t>INCOME ASSUMPTIONS (YEAR 1)</t>
  </si>
  <si>
    <t>Gross Rental Income (Annual)</t>
  </si>
  <si>
    <t>Total annual rent from all units</t>
  </si>
  <si>
    <t>Other Income (Annual)</t>
  </si>
  <si>
    <t>Parking, laundry, pet fees, etc.</t>
  </si>
  <si>
    <t>Vacancy Rate %</t>
  </si>
  <si>
    <t>Expected vacancy % (enter as 5 for 5%)</t>
  </si>
  <si>
    <t>OPERATING EXPENSES (YEAR 1)</t>
  </si>
  <si>
    <t>Property Taxes (Annual)</t>
  </si>
  <si>
    <t>From county assessor</t>
  </si>
  <si>
    <t>Insurance (Annual)</t>
  </si>
  <si>
    <t>Property &amp; liability</t>
  </si>
  <si>
    <t>Property Management % of EGI</t>
  </si>
  <si>
    <t>Typically 4-10% (enter as 5 for 5%)</t>
  </si>
  <si>
    <t>Repairs &amp; Maintenance (Annual)</t>
  </si>
  <si>
    <t>Ongoing repairs</t>
  </si>
  <si>
    <t>Utilities (Annual)</t>
  </si>
  <si>
    <t>If owner-paid</t>
  </si>
  <si>
    <t>Landscaping/Grounds (Annual)</t>
  </si>
  <si>
    <t>Administrative (Annual)</t>
  </si>
  <si>
    <t>Office, supplies, etc.</t>
  </si>
  <si>
    <t>Marketing/Advertising (Annual)</t>
  </si>
  <si>
    <t>Tenant acquisition</t>
  </si>
  <si>
    <t>Other Operating Expenses (Annual)</t>
  </si>
  <si>
    <t>Misc expenses</t>
  </si>
  <si>
    <t>FINANCING STRUCTURE</t>
  </si>
  <si>
    <t>Loan Amount</t>
  </si>
  <si>
    <t>Total debt financing</t>
  </si>
  <si>
    <t>Interest Rate %</t>
  </si>
  <si>
    <t>Annual interest rate (enter as 6.5 for 6.5%)</t>
  </si>
  <si>
    <t>Loan Term (Years)</t>
  </si>
  <si>
    <t>Years until balloon payment</t>
  </si>
  <si>
    <t>Amortization Period (Years)</t>
  </si>
  <si>
    <t>Full amortization period</t>
  </si>
  <si>
    <t>PROJECTION ASSUMPTIONS</t>
  </si>
  <si>
    <t>Annual Rent Growth %</t>
  </si>
  <si>
    <t>Expected annual rent increase (enter as 3 for 3%)</t>
  </si>
  <si>
    <t>Annual Expense Growth %</t>
  </si>
  <si>
    <t>Expected annual expense increase</t>
  </si>
  <si>
    <t>Exit Cap Rate %</t>
  </si>
  <si>
    <t>Cap rate at sale (typically +0.5% from going-in)</t>
  </si>
  <si>
    <t>ACQUISITION SUMMARY</t>
  </si>
  <si>
    <t>Uses of Funds</t>
  </si>
  <si>
    <t>FF&amp;E</t>
  </si>
  <si>
    <t>Working Capital</t>
  </si>
  <si>
    <t>Marketing/Lease-Up</t>
  </si>
  <si>
    <t>Other Costs</t>
  </si>
  <si>
    <t>TOTAL PROJECT COST</t>
  </si>
  <si>
    <t>Per Unit Metrics</t>
  </si>
  <si>
    <t>Price Per Unit</t>
  </si>
  <si>
    <t>Price Per Square Foot</t>
  </si>
  <si>
    <t>YEAR 1 OPERATING PRO FORMA</t>
  </si>
  <si>
    <t>INCOME</t>
  </si>
  <si>
    <t>Gross Rental Income</t>
  </si>
  <si>
    <t>Other Income</t>
  </si>
  <si>
    <t>Gross Potential Income</t>
  </si>
  <si>
    <t>Less: Vacancy &amp; Credit Loss</t>
  </si>
  <si>
    <t>Vacancy Loss $</t>
  </si>
  <si>
    <t>EFFECTIVE GROSS INCOME</t>
  </si>
  <si>
    <t>OPERATING EXPENSES</t>
  </si>
  <si>
    <t>Property Taxes</t>
  </si>
  <si>
    <t>Insurance</t>
  </si>
  <si>
    <t>Property Management</t>
  </si>
  <si>
    <t>Repairs &amp; Maintenance</t>
  </si>
  <si>
    <t>Utilities</t>
  </si>
  <si>
    <t>Landscaping/Grounds</t>
  </si>
  <si>
    <t>Administrative</t>
  </si>
  <si>
    <t>Marketing/Advertising</t>
  </si>
  <si>
    <t>Other Operating Expenses</t>
  </si>
  <si>
    <t>TOTAL OPERATING EXPENSES</t>
  </si>
  <si>
    <t>NET OPERATING INCOME (NOI)</t>
  </si>
  <si>
    <t>KEY METRICS</t>
  </si>
  <si>
    <t>Operating Expense Ratio</t>
  </si>
  <si>
    <t>NOI Margin %</t>
  </si>
  <si>
    <t>Income Per Unit</t>
  </si>
  <si>
    <t>Expense Per Unit</t>
  </si>
  <si>
    <t>NOI Per Unit</t>
  </si>
  <si>
    <t>5-YEAR PRO FORMA PROJECTIONS</t>
  </si>
  <si>
    <t>Year 1</t>
  </si>
  <si>
    <t>Year 2</t>
  </si>
  <si>
    <t>Year 3</t>
  </si>
  <si>
    <t>Year 4</t>
  </si>
  <si>
    <t>Year 5</t>
  </si>
  <si>
    <t>Vacancy Loss</t>
  </si>
  <si>
    <t>Total Operating Expenses</t>
  </si>
  <si>
    <t>NET OPERATING INCOME</t>
  </si>
  <si>
    <t>10-YEAR PRO FORMA PROJECTIONS</t>
  </si>
  <si>
    <t>Year 6</t>
  </si>
  <si>
    <t>Year 7</t>
  </si>
  <si>
    <t>Year 8</t>
  </si>
  <si>
    <t>Year 9</t>
  </si>
  <si>
    <t>Year 10</t>
  </si>
  <si>
    <t>FINANCING STRUCTURE &amp; RETURN METRICS</t>
  </si>
  <si>
    <t>DEBT FINANCING</t>
  </si>
  <si>
    <t>Amortization (Years)</t>
  </si>
  <si>
    <t>Annual Debt Service</t>
  </si>
  <si>
    <t>Monthly Payment</t>
  </si>
  <si>
    <t>SOURCES &amp; USES</t>
  </si>
  <si>
    <t>Total Project Cost</t>
  </si>
  <si>
    <t>Less: Loan Amount</t>
  </si>
  <si>
    <t>EQUITY REQUIRED</t>
  </si>
  <si>
    <t>CAPITAL STACK</t>
  </si>
  <si>
    <t>Loan-to-Value (LTV) %</t>
  </si>
  <si>
    <t>Loan-to-Cost (LTC) %</t>
  </si>
  <si>
    <t>Equity %</t>
  </si>
  <si>
    <t>YEAR 1 RETURNS</t>
  </si>
  <si>
    <t>Year 1 NOI</t>
  </si>
  <si>
    <t>Less: Annual Debt Service</t>
  </si>
  <si>
    <t>Year 1 Cash Flow</t>
  </si>
  <si>
    <t>KEY RETURN METRICS</t>
  </si>
  <si>
    <t>Going-In Cap Rate %</t>
  </si>
  <si>
    <t>Cash-on-Cash Return %</t>
  </si>
  <si>
    <t>Debt Service Coverage Ratio</t>
  </si>
  <si>
    <t>Debt Yield %</t>
  </si>
  <si>
    <t>EXIT ANALYSIS &amp; INVESTOR RETURNS</t>
  </si>
  <si>
    <t>EXIT ASSUMPTIONS</t>
  </si>
  <si>
    <t>Exit NOI (Based on Hold Period)</t>
  </si>
  <si>
    <t>SALE CALCULATIONS</t>
  </si>
  <si>
    <t>Gross Sale Price</t>
  </si>
  <si>
    <t>Less: Selling Costs (2%)</t>
  </si>
  <si>
    <t>Net Sale Proceeds</t>
  </si>
  <si>
    <t>Less: Remaining Loan Balance</t>
  </si>
  <si>
    <t>NET PROCEEDS TO EQUITY</t>
  </si>
  <si>
    <t>INVESTOR RETURN SUMMARY</t>
  </si>
  <si>
    <t>Initial Equity Investment</t>
  </si>
  <si>
    <t>Total Cash Flow (All Years)</t>
  </si>
  <si>
    <t>TOTAL RETURN TO EQUITY</t>
  </si>
  <si>
    <t>Note: Percentages below show TOTAL return over entire hold period, not annual</t>
  </si>
  <si>
    <t>RETURN METRICS</t>
  </si>
  <si>
    <t>Total Return % (Cumulative)</t>
  </si>
  <si>
    <t>Equity Multiple (Total Return ÷ Initial Investment)</t>
  </si>
  <si>
    <t>Average Annual Return %</t>
  </si>
  <si>
    <t>INVESTMENT SUMMARY DASHBOARD</t>
  </si>
  <si>
    <t>PROPERTY OVERVIEW</t>
  </si>
  <si>
    <t>Property Name</t>
  </si>
  <si>
    <t>Location</t>
  </si>
  <si>
    <t>Total Square Feet</t>
  </si>
  <si>
    <t>INVESTMENT SUMMARY</t>
  </si>
  <si>
    <t>Price Per SF</t>
  </si>
  <si>
    <t>FINANCING</t>
  </si>
  <si>
    <t>Equity Required</t>
  </si>
  <si>
    <t>LTV Ratio</t>
  </si>
  <si>
    <t>Interest Rate</t>
  </si>
  <si>
    <t>Loan Term</t>
  </si>
  <si>
    <t>YEAR 1 PERFORMANCE</t>
  </si>
  <si>
    <t>Effective Gross Income</t>
  </si>
  <si>
    <t>Net Operating Income</t>
  </si>
  <si>
    <t>Going-In Cap Rate</t>
  </si>
  <si>
    <t>Cash-on-Cash Return</t>
  </si>
  <si>
    <t>DSCR</t>
  </si>
  <si>
    <t>OpEx Ratio</t>
  </si>
  <si>
    <t>EXIT ANALYSIS</t>
  </si>
  <si>
    <t>Hold Period</t>
  </si>
  <si>
    <t>Exit Cap Rate</t>
  </si>
  <si>
    <t>Projected Sale Price</t>
  </si>
  <si>
    <t>Total Return to Equity</t>
  </si>
  <si>
    <t>Equity Multiple</t>
  </si>
  <si>
    <t>Avg Annual Return</t>
  </si>
  <si>
    <t>DEFI ASSETS LLLC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</si>
</sst>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0%"/>
    <numFmt numFmtId="167" formatCode="0.00\x"/>
    <numFmt numFmtId="168" formatCode="0.00&quot;x&quot;"/>
  </numFmts>
  <fonts count="15" x14ac:knownFonts="1">
    <font>
      <sz val="11"/>
      <color theme="1"/>
      <name val="Calibri"/>
      <family val="2"/>
      <scheme val="minor"/>
    </font>
    <font>
      <b/>
      <sz val="12"/>
      <color rgb="FFFFFFFF"/>
      <name val="Calibri"/>
    </font>
    <font>
      <b/>
      <sz val="11"/>
      <name val="Calibri"/>
    </font>
    <font>
      <i/>
      <sz val="9"/>
      <name val="Calibri"/>
    </font>
    <font>
      <b/>
      <sz val="9"/>
      <name val="Calibri"/>
    </font>
    <font>
      <sz val="9"/>
      <name val="Calibri"/>
    </font>
    <font>
      <b/>
      <sz val="16"/>
      <color rgb="FFFFFFFF"/>
      <name val="Calibri"/>
    </font>
    <font>
      <b/>
      <sz val="12"/>
      <name val="Calibri"/>
    </font>
    <font>
      <i/>
      <sz val="9"/>
      <color rgb="FF666666"/>
      <name val="Calibri"/>
    </font>
    <font>
      <b/>
      <sz val="14"/>
      <color rgb="FFFFFFFF"/>
      <name val="Calibri"/>
    </font>
    <font>
      <sz val="10"/>
      <name val="Calibri"/>
    </font>
    <font>
      <b/>
      <sz val="11"/>
      <name val="Calibri"/>
    </font>
    <font>
      <u/>
      <sz val="10"/>
      <color rgb="FF0000FF"/>
      <name val="Calibri"/>
    </font>
    <font>
      <sz val="10"/>
      <color rgb="FF006400"/>
      <name val="Calibri"/>
    </font>
    <font>
      <b/>
      <sz val="11"/>
      <color theme="1"/>
      <name val="Calibri"/>
      <family val="2"/>
      <scheme val="minor"/>
    </font>
  </fonts>
  <fills count="8">
    <fill>
      <patternFill patternType="none"/>
    </fill>
    <fill>
      <patternFill patternType="gray125"/>
    </fill>
    <fill>
      <patternFill patternType="solid">
        <fgColor rgb="FF1F4788"/>
        <bgColor rgb="FF1F4788"/>
      </patternFill>
    </fill>
    <fill>
      <patternFill patternType="solid">
        <fgColor rgb="FF3498DB"/>
        <bgColor rgb="FF3498DB"/>
      </patternFill>
    </fill>
    <fill>
      <patternFill patternType="solid">
        <fgColor rgb="FFFFF3CD"/>
        <bgColor rgb="FFFFF3CD"/>
      </patternFill>
    </fill>
    <fill>
      <patternFill patternType="solid">
        <fgColor rgb="FFE8F4F8"/>
        <bgColor rgb="FFE8F4F8"/>
      </patternFill>
    </fill>
    <fill>
      <patternFill patternType="solid">
        <fgColor rgb="FFD4EDDA"/>
        <bgColor rgb="FFD4EDDA"/>
      </patternFill>
    </fill>
    <fill>
      <patternFill patternType="solid">
        <fgColor rgb="FF8B0000"/>
        <bgColor rgb="FF8B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2" fillId="3" borderId="0" xfId="0" applyFont="1" applyFill="1"/>
    <xf numFmtId="0" fontId="0" fillId="4" borderId="1" xfId="0" applyFill="1" applyBorder="1" applyProtection="1">
      <protection locked="0"/>
    </xf>
    <xf numFmtId="0" fontId="3" fillId="0" borderId="0" xfId="0" applyFont="1"/>
    <xf numFmtId="164" fontId="0" fillId="4" borderId="1" xfId="0" applyNumberFormat="1" applyFill="1" applyBorder="1" applyProtection="1">
      <protection locked="0"/>
    </xf>
    <xf numFmtId="165" fontId="0" fillId="4" borderId="1" xfId="0" applyNumberFormat="1" applyFill="1" applyBorder="1" applyProtection="1">
      <protection locked="0"/>
    </xf>
    <xf numFmtId="2" fontId="0" fillId="4" borderId="1" xfId="0" applyNumberFormat="1" applyFill="1" applyBorder="1" applyProtection="1">
      <protection locked="0"/>
    </xf>
    <xf numFmtId="1" fontId="0" fillId="4" borderId="1" xfId="0" applyNumberFormat="1" applyFill="1" applyBorder="1" applyProtection="1">
      <protection locked="0"/>
    </xf>
    <xf numFmtId="164" fontId="0" fillId="5" borderId="1" xfId="0" applyNumberFormat="1" applyFill="1" applyBorder="1"/>
    <xf numFmtId="164" fontId="2" fillId="6" borderId="1" xfId="0" applyNumberFormat="1" applyFont="1" applyFill="1" applyBorder="1"/>
    <xf numFmtId="166" fontId="0" fillId="5" borderId="1" xfId="0" applyNumberFormat="1" applyFill="1" applyBorder="1"/>
    <xf numFmtId="0" fontId="2" fillId="3" borderId="1" xfId="0" applyFont="1" applyFill="1" applyBorder="1" applyAlignment="1">
      <alignment horizontal="center"/>
    </xf>
    <xf numFmtId="164" fontId="0" fillId="5" borderId="1" xfId="0" applyNumberFormat="1" applyFill="1" applyBorder="1" applyAlignment="1">
      <alignment horizontal="right"/>
    </xf>
    <xf numFmtId="0" fontId="2" fillId="0" borderId="0" xfId="0" applyFont="1"/>
    <xf numFmtId="164" fontId="2" fillId="6" borderId="1" xfId="0" applyNumberFormat="1" applyFont="1" applyFill="1" applyBorder="1" applyAlignment="1">
      <alignment horizontal="right"/>
    </xf>
    <xf numFmtId="0" fontId="4" fillId="3" borderId="1" xfId="0" applyFont="1" applyFill="1" applyBorder="1" applyAlignment="1">
      <alignment horizontal="center"/>
    </xf>
    <xf numFmtId="164" fontId="5" fillId="5" borderId="1" xfId="0" applyNumberFormat="1" applyFont="1" applyFill="1" applyBorder="1" applyAlignment="1">
      <alignment horizontal="right"/>
    </xf>
    <xf numFmtId="0" fontId="4" fillId="0" borderId="0" xfId="0" applyFont="1"/>
    <xf numFmtId="164" fontId="4" fillId="6" borderId="1" xfId="0" applyNumberFormat="1" applyFont="1" applyFill="1" applyBorder="1" applyAlignment="1">
      <alignment horizontal="right"/>
    </xf>
    <xf numFmtId="10" fontId="0" fillId="5" borderId="1" xfId="0" applyNumberFormat="1" applyFill="1" applyBorder="1"/>
    <xf numFmtId="1" fontId="0" fillId="5" borderId="1" xfId="0" applyNumberFormat="1" applyFill="1" applyBorder="1"/>
    <xf numFmtId="167" fontId="0" fillId="5" borderId="1" xfId="0" applyNumberFormat="1" applyFill="1" applyBorder="1"/>
    <xf numFmtId="0" fontId="0" fillId="5" borderId="1" xfId="0" applyFill="1" applyBorder="1"/>
    <xf numFmtId="3" fontId="0" fillId="5" borderId="1" xfId="0" applyNumberFormat="1" applyFill="1" applyBorder="1"/>
    <xf numFmtId="0" fontId="9" fillId="7" borderId="1" xfId="0" applyFont="1" applyFill="1" applyBorder="1" applyAlignment="1">
      <alignment horizontal="center" vertical="center" wrapText="1"/>
    </xf>
    <xf numFmtId="0" fontId="10" fillId="0" borderId="0" xfId="0" applyFont="1" applyAlignment="1">
      <alignment vertical="top" wrapText="1"/>
    </xf>
    <xf numFmtId="0" fontId="11" fillId="4" borderId="1" xfId="0" applyFont="1" applyFill="1" applyBorder="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3" fillId="0" borderId="0" xfId="0" applyFont="1" applyAlignment="1">
      <alignment horizontal="center"/>
    </xf>
    <xf numFmtId="168" fontId="0" fillId="5" borderId="1" xfId="0" applyNumberFormat="1" applyFill="1" applyBorder="1"/>
    <xf numFmtId="2" fontId="0" fillId="5" borderId="1" xfId="0" applyNumberFormat="1" applyFill="1" applyBorder="1"/>
    <xf numFmtId="0" fontId="2" fillId="3" borderId="0" xfId="0" applyFont="1" applyFill="1"/>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xf>
    <xf numFmtId="0" fontId="8" fillId="0" borderId="0" xfId="0" applyFont="1"/>
    <xf numFmtId="0" fontId="7" fillId="3" borderId="0" xfId="0" applyFont="1" applyFill="1"/>
    <xf numFmtId="0" fontId="6" fillId="2" borderId="0" xfId="0" applyFont="1" applyFill="1" applyAlignment="1">
      <alignment horizontal="center" vertical="center"/>
    </xf>
    <xf numFmtId="0" fontId="14"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6350</xdr:colOff>
      <xdr:row>2</xdr:row>
      <xdr:rowOff>101599</xdr:rowOff>
    </xdr:from>
    <xdr:to>
      <xdr:col>4</xdr:col>
      <xdr:colOff>412750</xdr:colOff>
      <xdr:row>6</xdr:row>
      <xdr:rowOff>249880</xdr:rowOff>
    </xdr:to>
    <xdr:pic>
      <xdr:nvPicPr>
        <xdr:cNvPr id="2" name="Picture 1" descr="defi">
          <a:extLst>
            <a:ext uri="{FF2B5EF4-FFF2-40B4-BE49-F238E27FC236}">
              <a16:creationId xmlns:a16="http://schemas.microsoft.com/office/drawing/2014/main" id="{1C7A11B6-3736-06E9-8279-E5AAF6DB26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10550" y="666749"/>
          <a:ext cx="1016000" cy="961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1"/>
  <sheetViews>
    <sheetView tabSelected="1" workbookViewId="0">
      <selection activeCell="A100" sqref="A100"/>
    </sheetView>
  </sheetViews>
  <sheetFormatPr defaultRowHeight="14.5" x14ac:dyDescent="0.35"/>
  <cols>
    <col min="1" max="1" width="123.6328125" customWidth="1"/>
  </cols>
  <sheetData>
    <row r="1" spans="1:5" ht="30" customHeight="1" x14ac:dyDescent="0.35">
      <c r="A1" s="24" t="s">
        <v>0</v>
      </c>
    </row>
    <row r="3" spans="1:5" x14ac:dyDescent="0.35">
      <c r="A3" s="25"/>
    </row>
    <row r="4" spans="1:5" ht="20" customHeight="1" x14ac:dyDescent="0.35">
      <c r="A4" s="26" t="s">
        <v>1</v>
      </c>
    </row>
    <row r="5" spans="1:5" ht="15" customHeight="1" x14ac:dyDescent="0.35">
      <c r="A5" s="25" t="s">
        <v>2</v>
      </c>
    </row>
    <row r="6" spans="1:5" x14ac:dyDescent="0.35">
      <c r="A6" s="25"/>
    </row>
    <row r="7" spans="1:5" ht="30" customHeight="1" x14ac:dyDescent="0.35">
      <c r="A7" s="25" t="s">
        <v>3</v>
      </c>
    </row>
    <row r="8" spans="1:5" x14ac:dyDescent="0.35">
      <c r="A8" s="25"/>
      <c r="D8" s="39" t="s">
        <v>322</v>
      </c>
      <c r="E8" s="39"/>
    </row>
    <row r="9" spans="1:5" ht="30" customHeight="1" x14ac:dyDescent="0.35">
      <c r="A9" s="25" t="s">
        <v>4</v>
      </c>
    </row>
    <row r="10" spans="1:5" x14ac:dyDescent="0.35">
      <c r="A10" s="25"/>
    </row>
    <row r="11" spans="1:5" x14ac:dyDescent="0.35">
      <c r="A11" s="25"/>
    </row>
    <row r="12" spans="1:5" ht="20" customHeight="1" x14ac:dyDescent="0.35">
      <c r="A12" s="26" t="s">
        <v>5</v>
      </c>
    </row>
    <row r="13" spans="1:5" ht="30" customHeight="1" x14ac:dyDescent="0.35">
      <c r="A13" s="25" t="s">
        <v>6</v>
      </c>
    </row>
    <row r="14" spans="1:5" x14ac:dyDescent="0.35">
      <c r="A14" s="25"/>
    </row>
    <row r="15" spans="1:5" ht="30" customHeight="1" x14ac:dyDescent="0.35">
      <c r="A15" s="25" t="s">
        <v>7</v>
      </c>
    </row>
    <row r="16" spans="1:5" x14ac:dyDescent="0.35">
      <c r="A16" s="25"/>
    </row>
    <row r="17" spans="1:1" ht="30" customHeight="1" x14ac:dyDescent="0.35">
      <c r="A17" s="25" t="s">
        <v>8</v>
      </c>
    </row>
    <row r="18" spans="1:1" x14ac:dyDescent="0.35">
      <c r="A18" s="25"/>
    </row>
    <row r="19" spans="1:1" ht="30" customHeight="1" x14ac:dyDescent="0.35">
      <c r="A19" s="25" t="s">
        <v>9</v>
      </c>
    </row>
    <row r="20" spans="1:1" x14ac:dyDescent="0.35">
      <c r="A20" s="25"/>
    </row>
    <row r="21" spans="1:1" ht="30" customHeight="1" x14ac:dyDescent="0.35">
      <c r="A21" s="25" t="s">
        <v>10</v>
      </c>
    </row>
    <row r="22" spans="1:1" x14ac:dyDescent="0.35">
      <c r="A22" s="25"/>
    </row>
    <row r="23" spans="1:1" ht="30" customHeight="1" x14ac:dyDescent="0.35">
      <c r="A23" s="25" t="s">
        <v>11</v>
      </c>
    </row>
    <row r="24" spans="1:1" x14ac:dyDescent="0.35">
      <c r="A24" s="25"/>
    </row>
    <row r="25" spans="1:1" x14ac:dyDescent="0.35">
      <c r="A25" s="25"/>
    </row>
    <row r="26" spans="1:1" ht="20" customHeight="1" x14ac:dyDescent="0.35">
      <c r="A26" s="26" t="s">
        <v>12</v>
      </c>
    </row>
    <row r="27" spans="1:1" ht="30" customHeight="1" x14ac:dyDescent="0.35">
      <c r="A27" s="25" t="s">
        <v>13</v>
      </c>
    </row>
    <row r="28" spans="1:1" x14ac:dyDescent="0.35">
      <c r="A28" s="25"/>
    </row>
    <row r="29" spans="1:1" ht="15" customHeight="1" x14ac:dyDescent="0.35">
      <c r="A29" s="25" t="s">
        <v>14</v>
      </c>
    </row>
    <row r="30" spans="1:1" ht="15" customHeight="1" x14ac:dyDescent="0.35">
      <c r="A30" s="25" t="s">
        <v>15</v>
      </c>
    </row>
    <row r="31" spans="1:1" ht="15" customHeight="1" x14ac:dyDescent="0.35">
      <c r="A31" s="25" t="s">
        <v>16</v>
      </c>
    </row>
    <row r="32" spans="1:1" ht="15" customHeight="1" x14ac:dyDescent="0.35">
      <c r="A32" s="25" t="s">
        <v>17</v>
      </c>
    </row>
    <row r="33" spans="1:1" ht="15" customHeight="1" x14ac:dyDescent="0.35">
      <c r="A33" s="25" t="s">
        <v>18</v>
      </c>
    </row>
    <row r="34" spans="1:1" x14ac:dyDescent="0.35">
      <c r="A34" s="25"/>
    </row>
    <row r="35" spans="1:1" x14ac:dyDescent="0.35">
      <c r="A35" s="25"/>
    </row>
    <row r="36" spans="1:1" ht="20" customHeight="1" x14ac:dyDescent="0.35">
      <c r="A36" s="26" t="s">
        <v>19</v>
      </c>
    </row>
    <row r="37" spans="1:1" ht="30" customHeight="1" x14ac:dyDescent="0.35">
      <c r="A37" s="25" t="s">
        <v>20</v>
      </c>
    </row>
    <row r="38" spans="1:1" x14ac:dyDescent="0.35">
      <c r="A38" s="25"/>
    </row>
    <row r="39" spans="1:1" ht="15" customHeight="1" x14ac:dyDescent="0.35">
      <c r="A39" s="25" t="s">
        <v>21</v>
      </c>
    </row>
    <row r="40" spans="1:1" ht="15" customHeight="1" x14ac:dyDescent="0.35">
      <c r="A40" s="25" t="s">
        <v>22</v>
      </c>
    </row>
    <row r="41" spans="1:1" ht="15" customHeight="1" x14ac:dyDescent="0.35">
      <c r="A41" s="25" t="s">
        <v>23</v>
      </c>
    </row>
    <row r="42" spans="1:1" ht="15" customHeight="1" x14ac:dyDescent="0.35">
      <c r="A42" s="25" t="s">
        <v>24</v>
      </c>
    </row>
    <row r="43" spans="1:1" ht="15" customHeight="1" x14ac:dyDescent="0.35">
      <c r="A43" s="25" t="s">
        <v>25</v>
      </c>
    </row>
    <row r="44" spans="1:1" x14ac:dyDescent="0.35">
      <c r="A44" s="25"/>
    </row>
    <row r="45" spans="1:1" ht="15" customHeight="1" x14ac:dyDescent="0.35">
      <c r="A45" s="25" t="s">
        <v>26</v>
      </c>
    </row>
    <row r="46" spans="1:1" x14ac:dyDescent="0.35">
      <c r="A46" s="25"/>
    </row>
    <row r="47" spans="1:1" x14ac:dyDescent="0.35">
      <c r="A47" s="25"/>
    </row>
    <row r="48" spans="1:1" ht="20" customHeight="1" x14ac:dyDescent="0.35">
      <c r="A48" s="26" t="s">
        <v>27</v>
      </c>
    </row>
    <row r="49" spans="1:1" ht="15" customHeight="1" x14ac:dyDescent="0.35">
      <c r="A49" s="25" t="s">
        <v>28</v>
      </c>
    </row>
    <row r="50" spans="1:1" x14ac:dyDescent="0.35">
      <c r="A50" s="25"/>
    </row>
    <row r="51" spans="1:1" ht="15" customHeight="1" x14ac:dyDescent="0.35">
      <c r="A51" s="25" t="s">
        <v>29</v>
      </c>
    </row>
    <row r="52" spans="1:1" ht="15" customHeight="1" x14ac:dyDescent="0.35">
      <c r="A52" s="25" t="s">
        <v>30</v>
      </c>
    </row>
    <row r="53" spans="1:1" ht="15" customHeight="1" x14ac:dyDescent="0.35">
      <c r="A53" s="25" t="s">
        <v>31</v>
      </c>
    </row>
    <row r="54" spans="1:1" ht="15" customHeight="1" x14ac:dyDescent="0.35">
      <c r="A54" s="25" t="s">
        <v>32</v>
      </c>
    </row>
    <row r="55" spans="1:1" ht="15" customHeight="1" x14ac:dyDescent="0.35">
      <c r="A55" s="25" t="s">
        <v>33</v>
      </c>
    </row>
    <row r="56" spans="1:1" x14ac:dyDescent="0.35">
      <c r="A56" s="25"/>
    </row>
    <row r="57" spans="1:1" ht="15" customHeight="1" x14ac:dyDescent="0.35">
      <c r="A57" s="25" t="s">
        <v>34</v>
      </c>
    </row>
    <row r="58" spans="1:1" ht="15" customHeight="1" x14ac:dyDescent="0.35">
      <c r="A58" s="25" t="s">
        <v>35</v>
      </c>
    </row>
    <row r="59" spans="1:1" ht="15" customHeight="1" x14ac:dyDescent="0.35">
      <c r="A59" s="25" t="s">
        <v>36</v>
      </c>
    </row>
    <row r="60" spans="1:1" ht="15" customHeight="1" x14ac:dyDescent="0.35">
      <c r="A60" s="25" t="s">
        <v>37</v>
      </c>
    </row>
    <row r="61" spans="1:1" ht="15" customHeight="1" x14ac:dyDescent="0.35">
      <c r="A61" s="25" t="s">
        <v>38</v>
      </c>
    </row>
    <row r="62" spans="1:1" ht="15" customHeight="1" x14ac:dyDescent="0.35">
      <c r="A62" s="25" t="s">
        <v>39</v>
      </c>
    </row>
    <row r="63" spans="1:1" x14ac:dyDescent="0.35">
      <c r="A63" s="25"/>
    </row>
    <row r="64" spans="1:1" x14ac:dyDescent="0.35">
      <c r="A64" s="25"/>
    </row>
    <row r="65" spans="1:1" ht="20" customHeight="1" x14ac:dyDescent="0.35">
      <c r="A65" s="26" t="s">
        <v>40</v>
      </c>
    </row>
    <row r="66" spans="1:1" ht="30" customHeight="1" x14ac:dyDescent="0.35">
      <c r="A66" s="25" t="s">
        <v>41</v>
      </c>
    </row>
    <row r="67" spans="1:1" x14ac:dyDescent="0.35">
      <c r="A67" s="25"/>
    </row>
    <row r="68" spans="1:1" ht="15" customHeight="1" x14ac:dyDescent="0.35">
      <c r="A68" s="25" t="s">
        <v>42</v>
      </c>
    </row>
    <row r="69" spans="1:1" ht="15" customHeight="1" x14ac:dyDescent="0.35">
      <c r="A69" s="25" t="s">
        <v>43</v>
      </c>
    </row>
    <row r="70" spans="1:1" ht="15" customHeight="1" x14ac:dyDescent="0.35">
      <c r="A70" s="25" t="s">
        <v>44</v>
      </c>
    </row>
    <row r="71" spans="1:1" ht="15" customHeight="1" x14ac:dyDescent="0.35">
      <c r="A71" s="25" t="s">
        <v>45</v>
      </c>
    </row>
    <row r="72" spans="1:1" x14ac:dyDescent="0.35">
      <c r="A72" s="25"/>
    </row>
    <row r="73" spans="1:1" ht="30" customHeight="1" x14ac:dyDescent="0.35">
      <c r="A73" s="25" t="s">
        <v>46</v>
      </c>
    </row>
    <row r="74" spans="1:1" x14ac:dyDescent="0.35">
      <c r="A74" s="25"/>
    </row>
    <row r="75" spans="1:1" x14ac:dyDescent="0.35">
      <c r="A75" s="25"/>
    </row>
    <row r="76" spans="1:1" ht="20" customHeight="1" x14ac:dyDescent="0.35">
      <c r="A76" s="26" t="s">
        <v>47</v>
      </c>
    </row>
    <row r="77" spans="1:1" ht="30" customHeight="1" x14ac:dyDescent="0.35">
      <c r="A77" s="25" t="s">
        <v>48</v>
      </c>
    </row>
    <row r="78" spans="1:1" x14ac:dyDescent="0.35">
      <c r="A78" s="25"/>
    </row>
    <row r="79" spans="1:1" ht="15" customHeight="1" x14ac:dyDescent="0.35">
      <c r="A79" s="25" t="s">
        <v>49</v>
      </c>
    </row>
    <row r="80" spans="1:1" ht="15" customHeight="1" x14ac:dyDescent="0.35">
      <c r="A80" s="25" t="s">
        <v>50</v>
      </c>
    </row>
    <row r="81" spans="1:1" ht="15" customHeight="1" x14ac:dyDescent="0.35">
      <c r="A81" s="25" t="s">
        <v>51</v>
      </c>
    </row>
    <row r="82" spans="1:1" ht="15" customHeight="1" x14ac:dyDescent="0.35">
      <c r="A82" s="25" t="s">
        <v>52</v>
      </c>
    </row>
    <row r="83" spans="1:1" ht="15" customHeight="1" x14ac:dyDescent="0.35">
      <c r="A83" s="25" t="s">
        <v>53</v>
      </c>
    </row>
    <row r="84" spans="1:1" x14ac:dyDescent="0.35">
      <c r="A84" s="25"/>
    </row>
    <row r="85" spans="1:1" ht="30" customHeight="1" x14ac:dyDescent="0.35">
      <c r="A85" s="25" t="s">
        <v>54</v>
      </c>
    </row>
    <row r="86" spans="1:1" x14ac:dyDescent="0.35">
      <c r="A86" s="25"/>
    </row>
    <row r="87" spans="1:1" x14ac:dyDescent="0.35">
      <c r="A87" s="25"/>
    </row>
    <row r="88" spans="1:1" ht="20" customHeight="1" x14ac:dyDescent="0.35">
      <c r="A88" s="26" t="s">
        <v>55</v>
      </c>
    </row>
    <row r="89" spans="1:1" ht="15" customHeight="1" x14ac:dyDescent="0.35">
      <c r="A89" s="25" t="s">
        <v>56</v>
      </c>
    </row>
    <row r="90" spans="1:1" x14ac:dyDescent="0.35">
      <c r="A90" s="25"/>
    </row>
    <row r="91" spans="1:1" ht="15" customHeight="1" x14ac:dyDescent="0.35">
      <c r="A91" s="25" t="s">
        <v>57</v>
      </c>
    </row>
    <row r="92" spans="1:1" ht="15" customHeight="1" x14ac:dyDescent="0.35">
      <c r="A92" s="25" t="s">
        <v>58</v>
      </c>
    </row>
    <row r="93" spans="1:1" ht="15" customHeight="1" x14ac:dyDescent="0.35">
      <c r="A93" s="25" t="s">
        <v>59</v>
      </c>
    </row>
    <row r="94" spans="1:1" x14ac:dyDescent="0.35">
      <c r="A94" s="25"/>
    </row>
    <row r="95" spans="1:1" ht="15" customHeight="1" x14ac:dyDescent="0.35">
      <c r="A95" s="25" t="s">
        <v>60</v>
      </c>
    </row>
    <row r="96" spans="1:1" ht="15" customHeight="1" x14ac:dyDescent="0.35">
      <c r="A96" s="25" t="s">
        <v>61</v>
      </c>
    </row>
    <row r="97" spans="1:1" ht="15" customHeight="1" x14ac:dyDescent="0.35">
      <c r="A97" s="25" t="s">
        <v>62</v>
      </c>
    </row>
    <row r="98" spans="1:1" ht="15" customHeight="1" x14ac:dyDescent="0.35">
      <c r="A98" s="25" t="s">
        <v>63</v>
      </c>
    </row>
    <row r="99" spans="1:1" ht="15" customHeight="1" x14ac:dyDescent="0.35">
      <c r="A99" s="25" t="s">
        <v>64</v>
      </c>
    </row>
    <row r="100" spans="1:1" x14ac:dyDescent="0.35">
      <c r="A100" s="25"/>
    </row>
    <row r="101" spans="1:1" ht="30" customHeight="1" x14ac:dyDescent="0.35">
      <c r="A101" s="25" t="s">
        <v>65</v>
      </c>
    </row>
    <row r="102" spans="1:1" x14ac:dyDescent="0.35">
      <c r="A102" s="25"/>
    </row>
    <row r="103" spans="1:1" x14ac:dyDescent="0.35">
      <c r="A103" s="25"/>
    </row>
    <row r="104" spans="1:1" ht="20" customHeight="1" x14ac:dyDescent="0.35">
      <c r="A104" s="26" t="s">
        <v>66</v>
      </c>
    </row>
    <row r="105" spans="1:1" ht="15" customHeight="1" x14ac:dyDescent="0.35">
      <c r="A105" s="25" t="s">
        <v>67</v>
      </c>
    </row>
    <row r="106" spans="1:1" x14ac:dyDescent="0.35">
      <c r="A106" s="25"/>
    </row>
    <row r="107" spans="1:1" ht="30" customHeight="1" x14ac:dyDescent="0.35">
      <c r="A107" s="25" t="s">
        <v>68</v>
      </c>
    </row>
    <row r="108" spans="1:1" x14ac:dyDescent="0.35">
      <c r="A108" s="25"/>
    </row>
    <row r="109" spans="1:1" ht="30" customHeight="1" x14ac:dyDescent="0.35">
      <c r="A109" s="25" t="s">
        <v>69</v>
      </c>
    </row>
    <row r="110" spans="1:1" x14ac:dyDescent="0.35">
      <c r="A110" s="25"/>
    </row>
    <row r="111" spans="1:1" ht="30" customHeight="1" x14ac:dyDescent="0.35">
      <c r="A111" s="25" t="s">
        <v>70</v>
      </c>
    </row>
    <row r="112" spans="1:1" x14ac:dyDescent="0.35">
      <c r="A112" s="25"/>
    </row>
    <row r="113" spans="1:1" ht="30" customHeight="1" x14ac:dyDescent="0.35">
      <c r="A113" s="25" t="s">
        <v>71</v>
      </c>
    </row>
    <row r="114" spans="1:1" x14ac:dyDescent="0.35">
      <c r="A114" s="25"/>
    </row>
    <row r="115" spans="1:1" ht="30" customHeight="1" x14ac:dyDescent="0.35">
      <c r="A115" s="25" t="s">
        <v>72</v>
      </c>
    </row>
    <row r="116" spans="1:1" x14ac:dyDescent="0.35">
      <c r="A116" s="25"/>
    </row>
    <row r="117" spans="1:1" ht="30" customHeight="1" x14ac:dyDescent="0.35">
      <c r="A117" s="25" t="s">
        <v>73</v>
      </c>
    </row>
    <row r="118" spans="1:1" x14ac:dyDescent="0.35">
      <c r="A118" s="25"/>
    </row>
    <row r="119" spans="1:1" x14ac:dyDescent="0.35">
      <c r="A119" s="25"/>
    </row>
    <row r="120" spans="1:1" ht="20" customHeight="1" x14ac:dyDescent="0.35">
      <c r="A120" s="26" t="s">
        <v>74</v>
      </c>
    </row>
    <row r="121" spans="1:1" ht="15" customHeight="1" x14ac:dyDescent="0.35">
      <c r="A121" s="25" t="s">
        <v>75</v>
      </c>
    </row>
    <row r="122" spans="1:1" x14ac:dyDescent="0.35">
      <c r="A122" s="25"/>
    </row>
    <row r="123" spans="1:1" ht="15" customHeight="1" x14ac:dyDescent="0.35">
      <c r="A123" s="25" t="s">
        <v>76</v>
      </c>
    </row>
    <row r="124" spans="1:1" ht="15" customHeight="1" x14ac:dyDescent="0.35">
      <c r="A124" s="25" t="s">
        <v>77</v>
      </c>
    </row>
    <row r="125" spans="1:1" ht="15" customHeight="1" x14ac:dyDescent="0.35">
      <c r="A125" s="25" t="s">
        <v>78</v>
      </c>
    </row>
    <row r="126" spans="1:1" ht="15" customHeight="1" x14ac:dyDescent="0.35">
      <c r="A126" s="25" t="s">
        <v>79</v>
      </c>
    </row>
    <row r="127" spans="1:1" x14ac:dyDescent="0.35">
      <c r="A127" s="25"/>
    </row>
    <row r="128" spans="1:1" ht="15" customHeight="1" x14ac:dyDescent="0.35">
      <c r="A128" s="25" t="s">
        <v>80</v>
      </c>
    </row>
    <row r="129" spans="1:1" x14ac:dyDescent="0.35">
      <c r="A129" s="25"/>
    </row>
    <row r="130" spans="1:1" x14ac:dyDescent="0.35">
      <c r="A130" s="25"/>
    </row>
    <row r="131" spans="1:1" ht="20" customHeight="1" x14ac:dyDescent="0.35">
      <c r="A131" s="26" t="s">
        <v>81</v>
      </c>
    </row>
    <row r="132" spans="1:1" ht="30" customHeight="1" x14ac:dyDescent="0.35">
      <c r="A132" s="25" t="s">
        <v>82</v>
      </c>
    </row>
    <row r="133" spans="1:1" x14ac:dyDescent="0.35">
      <c r="A133" s="25"/>
    </row>
    <row r="134" spans="1:1" ht="15" customHeight="1" x14ac:dyDescent="0.35">
      <c r="A134" s="25" t="s">
        <v>83</v>
      </c>
    </row>
    <row r="135" spans="1:1" ht="15" customHeight="1" x14ac:dyDescent="0.35">
      <c r="A135" s="25" t="s">
        <v>84</v>
      </c>
    </row>
    <row r="136" spans="1:1" ht="15" customHeight="1" x14ac:dyDescent="0.35">
      <c r="A136" s="25" t="s">
        <v>85</v>
      </c>
    </row>
    <row r="137" spans="1:1" ht="15" customHeight="1" x14ac:dyDescent="0.35">
      <c r="A137" s="25" t="s">
        <v>86</v>
      </c>
    </row>
    <row r="138" spans="1:1" ht="15" customHeight="1" x14ac:dyDescent="0.35">
      <c r="A138" s="25" t="s">
        <v>87</v>
      </c>
    </row>
    <row r="139" spans="1:1" ht="15" customHeight="1" x14ac:dyDescent="0.35">
      <c r="A139" s="25" t="s">
        <v>88</v>
      </c>
    </row>
    <row r="140" spans="1:1" x14ac:dyDescent="0.35">
      <c r="A140" s="25"/>
    </row>
    <row r="141" spans="1:1" x14ac:dyDescent="0.35">
      <c r="A141" s="25"/>
    </row>
    <row r="142" spans="1:1" ht="20" customHeight="1" x14ac:dyDescent="0.35">
      <c r="A142" s="26" t="s">
        <v>89</v>
      </c>
    </row>
    <row r="143" spans="1:1" ht="30" customHeight="1" x14ac:dyDescent="0.35">
      <c r="A143" s="25" t="s">
        <v>90</v>
      </c>
    </row>
    <row r="144" spans="1:1" x14ac:dyDescent="0.35">
      <c r="A144" s="25"/>
    </row>
    <row r="145" spans="1:1" ht="30" customHeight="1" x14ac:dyDescent="0.35">
      <c r="A145" s="25" t="s">
        <v>91</v>
      </c>
    </row>
    <row r="146" spans="1:1" x14ac:dyDescent="0.35">
      <c r="A146" s="25"/>
    </row>
    <row r="147" spans="1:1" x14ac:dyDescent="0.35">
      <c r="A147" s="25"/>
    </row>
    <row r="148" spans="1:1" ht="20" customHeight="1" x14ac:dyDescent="0.35">
      <c r="A148" s="26" t="s">
        <v>92</v>
      </c>
    </row>
    <row r="149" spans="1:1" ht="30" customHeight="1" x14ac:dyDescent="0.35">
      <c r="A149" s="25" t="s">
        <v>93</v>
      </c>
    </row>
    <row r="150" spans="1:1" x14ac:dyDescent="0.35">
      <c r="A150" s="25"/>
    </row>
    <row r="151" spans="1:1" x14ac:dyDescent="0.35">
      <c r="A151" s="25"/>
    </row>
    <row r="152" spans="1:1" ht="20" customHeight="1" x14ac:dyDescent="0.35">
      <c r="A152" s="26" t="s">
        <v>94</v>
      </c>
    </row>
    <row r="153" spans="1:1" ht="15" customHeight="1" x14ac:dyDescent="0.35">
      <c r="A153" s="25" t="s">
        <v>95</v>
      </c>
    </row>
    <row r="154" spans="1:1" x14ac:dyDescent="0.35">
      <c r="A154" s="25"/>
    </row>
    <row r="155" spans="1:1" x14ac:dyDescent="0.35">
      <c r="A155" s="27" t="s">
        <v>96</v>
      </c>
    </row>
    <row r="156" spans="1:1" x14ac:dyDescent="0.35">
      <c r="A156" s="27" t="s">
        <v>97</v>
      </c>
    </row>
    <row r="157" spans="1:1" x14ac:dyDescent="0.35">
      <c r="A157" s="25"/>
    </row>
    <row r="158" spans="1:1" ht="15" customHeight="1" x14ac:dyDescent="0.35">
      <c r="A158" s="25" t="s">
        <v>98</v>
      </c>
    </row>
    <row r="159" spans="1:1" ht="15" customHeight="1" x14ac:dyDescent="0.35">
      <c r="A159" s="25" t="s">
        <v>99</v>
      </c>
    </row>
    <row r="160" spans="1:1" ht="15" customHeight="1" x14ac:dyDescent="0.35">
      <c r="A160" s="25" t="s">
        <v>100</v>
      </c>
    </row>
    <row r="161" spans="1:1" ht="15" customHeight="1" x14ac:dyDescent="0.35">
      <c r="A161" s="25" t="s">
        <v>101</v>
      </c>
    </row>
    <row r="162" spans="1:1" x14ac:dyDescent="0.35">
      <c r="A162" s="25"/>
    </row>
    <row r="163" spans="1:1" x14ac:dyDescent="0.35">
      <c r="A163" s="25"/>
    </row>
    <row r="164" spans="1:1" ht="20" customHeight="1" x14ac:dyDescent="0.35">
      <c r="A164" s="26" t="s">
        <v>102</v>
      </c>
    </row>
    <row r="165" spans="1:1" ht="15" customHeight="1" x14ac:dyDescent="0.35">
      <c r="A165" s="25" t="s">
        <v>103</v>
      </c>
    </row>
    <row r="166" spans="1:1" x14ac:dyDescent="0.35">
      <c r="A166" s="25"/>
    </row>
    <row r="167" spans="1:1" ht="15" customHeight="1" x14ac:dyDescent="0.35">
      <c r="A167" s="28" t="s">
        <v>104</v>
      </c>
    </row>
    <row r="168" spans="1:1" ht="15" customHeight="1" x14ac:dyDescent="0.35">
      <c r="A168" s="28" t="s">
        <v>105</v>
      </c>
    </row>
    <row r="169" spans="1:1" ht="15" customHeight="1" x14ac:dyDescent="0.35">
      <c r="A169" s="28" t="s">
        <v>106</v>
      </c>
    </row>
    <row r="170" spans="1:1" ht="15" customHeight="1" x14ac:dyDescent="0.35">
      <c r="A170" s="28" t="s">
        <v>107</v>
      </c>
    </row>
    <row r="171" spans="1:1" ht="15" customHeight="1" x14ac:dyDescent="0.35">
      <c r="A171" s="28" t="s">
        <v>108</v>
      </c>
    </row>
    <row r="172" spans="1:1" ht="15" customHeight="1" x14ac:dyDescent="0.35">
      <c r="A172" s="28" t="s">
        <v>109</v>
      </c>
    </row>
    <row r="173" spans="1:1" ht="15" customHeight="1" x14ac:dyDescent="0.35">
      <c r="A173" s="28" t="s">
        <v>110</v>
      </c>
    </row>
    <row r="174" spans="1:1" x14ac:dyDescent="0.35">
      <c r="A174" s="25"/>
    </row>
    <row r="175" spans="1:1" ht="15" customHeight="1" x14ac:dyDescent="0.35">
      <c r="A175" s="25" t="s">
        <v>111</v>
      </c>
    </row>
    <row r="176" spans="1:1" x14ac:dyDescent="0.35">
      <c r="A176" s="25"/>
    </row>
    <row r="177" spans="1:1" x14ac:dyDescent="0.35">
      <c r="A177" s="25"/>
    </row>
    <row r="178" spans="1:1" x14ac:dyDescent="0.35">
      <c r="A178" s="25"/>
    </row>
    <row r="179" spans="1:1" x14ac:dyDescent="0.35">
      <c r="A179" s="29" t="s">
        <v>112</v>
      </c>
    </row>
    <row r="180" spans="1:1" x14ac:dyDescent="0.35">
      <c r="A180" s="29" t="s">
        <v>113</v>
      </c>
    </row>
    <row r="181" spans="1:1" x14ac:dyDescent="0.35">
      <c r="A181" s="25"/>
    </row>
  </sheetData>
  <sheetProtection algorithmName="SHA-512" hashValue="6p62sWyyEgL9zLqVkafvp7UiOxRfyy5x9sa3SlkS2Jf4eyj58Ei6kd7KrgJRDeQwHtMvoD//ynoiYlQuQpaKfg==" saltValue="3v3q1XGMa7J34nZ1b+YvoQ==" spinCount="100000" sheet="1"/>
  <mergeCells count="1">
    <mergeCell ref="D8:E8"/>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8"/>
  <sheetViews>
    <sheetView workbookViewId="0"/>
  </sheetViews>
  <sheetFormatPr defaultRowHeight="14.5" x14ac:dyDescent="0.35"/>
  <cols>
    <col min="1" max="1" width="40" customWidth="1"/>
    <col min="2" max="2" width="20" customWidth="1"/>
    <col min="3" max="3" width="30" customWidth="1"/>
  </cols>
  <sheetData>
    <row r="1" spans="1:3" ht="15.5" x14ac:dyDescent="0.35">
      <c r="A1" s="34" t="s">
        <v>114</v>
      </c>
      <c r="B1" s="33"/>
      <c r="C1" s="33"/>
    </row>
    <row r="3" spans="1:3" x14ac:dyDescent="0.35">
      <c r="A3" s="1" t="s">
        <v>115</v>
      </c>
    </row>
    <row r="4" spans="1:3" x14ac:dyDescent="0.35">
      <c r="A4" t="s">
        <v>116</v>
      </c>
    </row>
    <row r="5" spans="1:3" x14ac:dyDescent="0.35">
      <c r="A5" t="s">
        <v>117</v>
      </c>
    </row>
    <row r="6" spans="1:3" x14ac:dyDescent="0.35">
      <c r="A6" t="s">
        <v>118</v>
      </c>
    </row>
    <row r="7" spans="1:3" x14ac:dyDescent="0.35">
      <c r="A7" t="s">
        <v>119</v>
      </c>
    </row>
    <row r="9" spans="1:3" x14ac:dyDescent="0.35">
      <c r="A9" s="32" t="s">
        <v>120</v>
      </c>
      <c r="B9" s="33"/>
      <c r="C9" s="33"/>
    </row>
    <row r="10" spans="1:3" x14ac:dyDescent="0.35">
      <c r="A10" s="1" t="s">
        <v>121</v>
      </c>
      <c r="B10" s="1" t="s">
        <v>122</v>
      </c>
      <c r="C10" s="1" t="s">
        <v>123</v>
      </c>
    </row>
    <row r="11" spans="1:3" x14ac:dyDescent="0.35">
      <c r="A11" t="s">
        <v>124</v>
      </c>
      <c r="B11" s="2" t="s">
        <v>125</v>
      </c>
      <c r="C11" s="3" t="s">
        <v>126</v>
      </c>
    </row>
    <row r="12" spans="1:3" x14ac:dyDescent="0.35">
      <c r="A12" t="s">
        <v>127</v>
      </c>
      <c r="B12" s="2" t="s">
        <v>128</v>
      </c>
      <c r="C12" s="3"/>
    </row>
    <row r="13" spans="1:3" x14ac:dyDescent="0.35">
      <c r="A13" t="s">
        <v>129</v>
      </c>
      <c r="B13" s="2" t="s">
        <v>130</v>
      </c>
      <c r="C13" s="3"/>
    </row>
    <row r="14" spans="1:3" x14ac:dyDescent="0.35">
      <c r="A14" t="s">
        <v>131</v>
      </c>
      <c r="B14" s="2" t="s">
        <v>132</v>
      </c>
      <c r="C14" s="3"/>
    </row>
    <row r="15" spans="1:3" x14ac:dyDescent="0.35">
      <c r="A15" t="s">
        <v>133</v>
      </c>
      <c r="B15" s="2" t="s">
        <v>134</v>
      </c>
      <c r="C15" s="3" t="s">
        <v>135</v>
      </c>
    </row>
    <row r="16" spans="1:3" x14ac:dyDescent="0.35">
      <c r="A16" t="s">
        <v>136</v>
      </c>
      <c r="B16" s="2">
        <v>24</v>
      </c>
      <c r="C16" s="3" t="s">
        <v>137</v>
      </c>
    </row>
    <row r="17" spans="1:3" x14ac:dyDescent="0.35">
      <c r="A17" t="s">
        <v>138</v>
      </c>
      <c r="B17" s="2">
        <v>18000</v>
      </c>
      <c r="C17" s="3" t="s">
        <v>139</v>
      </c>
    </row>
    <row r="18" spans="1:3" x14ac:dyDescent="0.35">
      <c r="A18" t="s">
        <v>140</v>
      </c>
      <c r="B18" s="2">
        <v>2005</v>
      </c>
      <c r="C18" s="3"/>
    </row>
    <row r="19" spans="1:3" x14ac:dyDescent="0.35">
      <c r="A19" t="s">
        <v>141</v>
      </c>
      <c r="B19" s="2">
        <v>95</v>
      </c>
      <c r="C19" s="3" t="s">
        <v>142</v>
      </c>
    </row>
    <row r="20" spans="1:3" x14ac:dyDescent="0.35">
      <c r="A20" t="s">
        <v>143</v>
      </c>
      <c r="B20" s="2">
        <v>5</v>
      </c>
      <c r="C20" s="3" t="s">
        <v>144</v>
      </c>
    </row>
    <row r="22" spans="1:3" x14ac:dyDescent="0.35">
      <c r="A22" s="32" t="s">
        <v>145</v>
      </c>
      <c r="B22" s="33"/>
      <c r="C22" s="33"/>
    </row>
    <row r="23" spans="1:3" x14ac:dyDescent="0.35">
      <c r="A23" t="s">
        <v>146</v>
      </c>
      <c r="B23" s="4">
        <v>5000000</v>
      </c>
      <c r="C23" s="3" t="s">
        <v>147</v>
      </c>
    </row>
    <row r="24" spans="1:3" x14ac:dyDescent="0.35">
      <c r="A24" t="s">
        <v>148</v>
      </c>
      <c r="B24" s="4">
        <v>150000</v>
      </c>
      <c r="C24" s="3" t="s">
        <v>149</v>
      </c>
    </row>
    <row r="25" spans="1:3" x14ac:dyDescent="0.35">
      <c r="A25" t="s">
        <v>150</v>
      </c>
      <c r="B25" s="4">
        <v>500000</v>
      </c>
      <c r="C25" s="3" t="s">
        <v>151</v>
      </c>
    </row>
    <row r="26" spans="1:3" x14ac:dyDescent="0.35">
      <c r="A26" t="s">
        <v>152</v>
      </c>
      <c r="B26" s="4">
        <v>0</v>
      </c>
      <c r="C26" s="3" t="s">
        <v>153</v>
      </c>
    </row>
    <row r="27" spans="1:3" x14ac:dyDescent="0.35">
      <c r="A27" t="s">
        <v>154</v>
      </c>
      <c r="B27" s="4">
        <v>50000</v>
      </c>
      <c r="C27" s="3" t="s">
        <v>155</v>
      </c>
    </row>
    <row r="28" spans="1:3" x14ac:dyDescent="0.35">
      <c r="A28" t="s">
        <v>156</v>
      </c>
      <c r="B28" s="4">
        <v>50000</v>
      </c>
      <c r="C28" s="3" t="s">
        <v>157</v>
      </c>
    </row>
    <row r="29" spans="1:3" x14ac:dyDescent="0.35">
      <c r="A29" t="s">
        <v>158</v>
      </c>
      <c r="B29" s="4">
        <v>100000</v>
      </c>
      <c r="C29" s="3" t="s">
        <v>159</v>
      </c>
    </row>
    <row r="30" spans="1:3" x14ac:dyDescent="0.35">
      <c r="A30" t="s">
        <v>160</v>
      </c>
      <c r="B30" s="4">
        <v>25000</v>
      </c>
      <c r="C30" s="3" t="s">
        <v>161</v>
      </c>
    </row>
    <row r="31" spans="1:3" x14ac:dyDescent="0.35">
      <c r="A31" t="s">
        <v>162</v>
      </c>
      <c r="B31" s="4">
        <v>0</v>
      </c>
      <c r="C31" s="3" t="s">
        <v>163</v>
      </c>
    </row>
    <row r="33" spans="1:3" x14ac:dyDescent="0.35">
      <c r="A33" s="32" t="s">
        <v>164</v>
      </c>
      <c r="B33" s="33"/>
      <c r="C33" s="33"/>
    </row>
    <row r="34" spans="1:3" x14ac:dyDescent="0.35">
      <c r="A34" t="s">
        <v>165</v>
      </c>
      <c r="B34" s="4">
        <v>600000</v>
      </c>
      <c r="C34" s="3" t="s">
        <v>166</v>
      </c>
    </row>
    <row r="35" spans="1:3" x14ac:dyDescent="0.35">
      <c r="A35" t="s">
        <v>167</v>
      </c>
      <c r="B35" s="5">
        <v>20000</v>
      </c>
      <c r="C35" s="3" t="s">
        <v>168</v>
      </c>
    </row>
    <row r="36" spans="1:3" x14ac:dyDescent="0.35">
      <c r="A36" t="s">
        <v>169</v>
      </c>
      <c r="B36" s="5">
        <v>5</v>
      </c>
      <c r="C36" s="3" t="s">
        <v>170</v>
      </c>
    </row>
    <row r="38" spans="1:3" x14ac:dyDescent="0.35">
      <c r="A38" s="32" t="s">
        <v>171</v>
      </c>
      <c r="B38" s="33"/>
      <c r="C38" s="33"/>
    </row>
    <row r="39" spans="1:3" x14ac:dyDescent="0.35">
      <c r="A39" t="s">
        <v>172</v>
      </c>
      <c r="B39" s="4">
        <v>60000</v>
      </c>
      <c r="C39" s="3" t="s">
        <v>173</v>
      </c>
    </row>
    <row r="40" spans="1:3" x14ac:dyDescent="0.35">
      <c r="A40" t="s">
        <v>174</v>
      </c>
      <c r="B40" s="4">
        <v>18000</v>
      </c>
      <c r="C40" s="3" t="s">
        <v>175</v>
      </c>
    </row>
    <row r="41" spans="1:3" x14ac:dyDescent="0.35">
      <c r="A41" t="s">
        <v>176</v>
      </c>
      <c r="B41" s="5">
        <v>5</v>
      </c>
      <c r="C41" s="3" t="s">
        <v>177</v>
      </c>
    </row>
    <row r="42" spans="1:3" x14ac:dyDescent="0.35">
      <c r="A42" t="s">
        <v>178</v>
      </c>
      <c r="B42" s="4">
        <v>30000</v>
      </c>
      <c r="C42" s="3" t="s">
        <v>179</v>
      </c>
    </row>
    <row r="43" spans="1:3" x14ac:dyDescent="0.35">
      <c r="A43" t="s">
        <v>180</v>
      </c>
      <c r="B43" s="4">
        <v>24000</v>
      </c>
      <c r="C43" s="3" t="s">
        <v>181</v>
      </c>
    </row>
    <row r="44" spans="1:3" x14ac:dyDescent="0.35">
      <c r="A44" t="s">
        <v>182</v>
      </c>
      <c r="B44" s="4">
        <v>12000</v>
      </c>
      <c r="C44" s="3"/>
    </row>
    <row r="45" spans="1:3" x14ac:dyDescent="0.35">
      <c r="A45" t="s">
        <v>183</v>
      </c>
      <c r="B45" s="4">
        <v>8000</v>
      </c>
      <c r="C45" s="3" t="s">
        <v>184</v>
      </c>
    </row>
    <row r="46" spans="1:3" x14ac:dyDescent="0.35">
      <c r="A46" t="s">
        <v>185</v>
      </c>
      <c r="B46" s="4">
        <v>6000</v>
      </c>
      <c r="C46" s="3" t="s">
        <v>186</v>
      </c>
    </row>
    <row r="47" spans="1:3" x14ac:dyDescent="0.35">
      <c r="A47" t="s">
        <v>187</v>
      </c>
      <c r="B47" s="4">
        <v>5000</v>
      </c>
      <c r="C47" s="3" t="s">
        <v>188</v>
      </c>
    </row>
    <row r="49" spans="1:3" x14ac:dyDescent="0.35">
      <c r="A49" s="32" t="s">
        <v>189</v>
      </c>
      <c r="B49" s="33"/>
      <c r="C49" s="33"/>
    </row>
    <row r="50" spans="1:3" x14ac:dyDescent="0.35">
      <c r="A50" t="s">
        <v>190</v>
      </c>
      <c r="B50" s="4">
        <v>3750000</v>
      </c>
      <c r="C50" s="3" t="s">
        <v>191</v>
      </c>
    </row>
    <row r="51" spans="1:3" x14ac:dyDescent="0.35">
      <c r="A51" t="s">
        <v>192</v>
      </c>
      <c r="B51" s="6">
        <v>6.5</v>
      </c>
      <c r="C51" s="3" t="s">
        <v>193</v>
      </c>
    </row>
    <row r="52" spans="1:3" x14ac:dyDescent="0.35">
      <c r="A52" t="s">
        <v>194</v>
      </c>
      <c r="B52" s="7">
        <v>10</v>
      </c>
      <c r="C52" s="3" t="s">
        <v>195</v>
      </c>
    </row>
    <row r="53" spans="1:3" x14ac:dyDescent="0.35">
      <c r="A53" t="s">
        <v>196</v>
      </c>
      <c r="B53" s="7">
        <v>30</v>
      </c>
      <c r="C53" s="3" t="s">
        <v>197</v>
      </c>
    </row>
    <row r="55" spans="1:3" x14ac:dyDescent="0.35">
      <c r="A55" s="32" t="s">
        <v>198</v>
      </c>
      <c r="B55" s="33"/>
      <c r="C55" s="33"/>
    </row>
    <row r="56" spans="1:3" x14ac:dyDescent="0.35">
      <c r="A56" t="s">
        <v>199</v>
      </c>
      <c r="B56" s="6">
        <v>3</v>
      </c>
      <c r="C56" s="3" t="s">
        <v>200</v>
      </c>
    </row>
    <row r="57" spans="1:3" x14ac:dyDescent="0.35">
      <c r="A57" t="s">
        <v>201</v>
      </c>
      <c r="B57" s="6">
        <v>2.5</v>
      </c>
      <c r="C57" s="3" t="s">
        <v>202</v>
      </c>
    </row>
    <row r="58" spans="1:3" x14ac:dyDescent="0.35">
      <c r="A58" t="s">
        <v>203</v>
      </c>
      <c r="B58" s="6">
        <v>5.5</v>
      </c>
      <c r="C58" s="3" t="s">
        <v>204</v>
      </c>
    </row>
  </sheetData>
  <mergeCells count="7">
    <mergeCell ref="A55:C55"/>
    <mergeCell ref="A38:C38"/>
    <mergeCell ref="A33:C33"/>
    <mergeCell ref="A49:C49"/>
    <mergeCell ref="A1:C1"/>
    <mergeCell ref="A22:C22"/>
    <mergeCell ref="A9:C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election sqref="A1:B1"/>
    </sheetView>
  </sheetViews>
  <sheetFormatPr defaultRowHeight="14.5" x14ac:dyDescent="0.35"/>
  <cols>
    <col min="1" max="1" width="40" customWidth="1"/>
    <col min="2" max="2" width="20" customWidth="1"/>
  </cols>
  <sheetData>
    <row r="1" spans="1:2" ht="15.5" x14ac:dyDescent="0.35">
      <c r="A1" s="35" t="s">
        <v>205</v>
      </c>
      <c r="B1" s="33"/>
    </row>
    <row r="3" spans="1:2" x14ac:dyDescent="0.35">
      <c r="A3" s="32" t="s">
        <v>206</v>
      </c>
      <c r="B3" s="33"/>
    </row>
    <row r="4" spans="1:2" x14ac:dyDescent="0.35">
      <c r="A4" t="s">
        <v>146</v>
      </c>
      <c r="B4" s="8">
        <f>PurchasePrice</f>
        <v>5000000</v>
      </c>
    </row>
    <row r="5" spans="1:2" x14ac:dyDescent="0.35">
      <c r="A5" t="s">
        <v>148</v>
      </c>
      <c r="B5" s="8">
        <f>ClosingCosts</f>
        <v>150000</v>
      </c>
    </row>
    <row r="6" spans="1:2" x14ac:dyDescent="0.35">
      <c r="A6" t="s">
        <v>150</v>
      </c>
      <c r="B6" s="8">
        <f>RenovationBudget</f>
        <v>500000</v>
      </c>
    </row>
    <row r="7" spans="1:2" x14ac:dyDescent="0.35">
      <c r="A7" t="s">
        <v>207</v>
      </c>
      <c r="B7" s="8">
        <f>FFE</f>
        <v>0</v>
      </c>
    </row>
    <row r="8" spans="1:2" x14ac:dyDescent="0.35">
      <c r="A8" t="s">
        <v>154</v>
      </c>
      <c r="B8" s="8">
        <f>Contingency</f>
        <v>50000</v>
      </c>
    </row>
    <row r="9" spans="1:2" x14ac:dyDescent="0.35">
      <c r="A9" t="s">
        <v>156</v>
      </c>
      <c r="B9" s="8">
        <f>FinancingFees</f>
        <v>50000</v>
      </c>
    </row>
    <row r="10" spans="1:2" x14ac:dyDescent="0.35">
      <c r="A10" t="s">
        <v>208</v>
      </c>
      <c r="B10" s="8">
        <f>WorkingCapital</f>
        <v>100000</v>
      </c>
    </row>
    <row r="11" spans="1:2" x14ac:dyDescent="0.35">
      <c r="A11" t="s">
        <v>209</v>
      </c>
      <c r="B11" s="8">
        <f>MarketingCosts</f>
        <v>25000</v>
      </c>
    </row>
    <row r="12" spans="1:2" x14ac:dyDescent="0.35">
      <c r="A12" t="s">
        <v>210</v>
      </c>
      <c r="B12" s="8">
        <f>OtherAcqCosts</f>
        <v>0</v>
      </c>
    </row>
    <row r="14" spans="1:2" x14ac:dyDescent="0.35">
      <c r="A14" t="s">
        <v>211</v>
      </c>
      <c r="B14" s="9">
        <f>SUM(B4:B12)</f>
        <v>5875000</v>
      </c>
    </row>
    <row r="16" spans="1:2" x14ac:dyDescent="0.35">
      <c r="A16" s="32" t="s">
        <v>212</v>
      </c>
      <c r="B16" s="33"/>
    </row>
    <row r="17" spans="1:2" x14ac:dyDescent="0.35">
      <c r="A17" t="s">
        <v>213</v>
      </c>
      <c r="B17" s="8">
        <f>B14/Units</f>
        <v>244791.66666666666</v>
      </c>
    </row>
    <row r="18" spans="1:2" x14ac:dyDescent="0.35">
      <c r="A18" t="s">
        <v>214</v>
      </c>
      <c r="B18" s="8">
        <f>B14/SqFt</f>
        <v>326.38888888888891</v>
      </c>
    </row>
  </sheetData>
  <sheetProtection password="DE47" sheet="1"/>
  <mergeCells count="3">
    <mergeCell ref="A3:B3"/>
    <mergeCell ref="A16:B16"/>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4"/>
  <sheetViews>
    <sheetView workbookViewId="0"/>
  </sheetViews>
  <sheetFormatPr defaultRowHeight="14.5" x14ac:dyDescent="0.35"/>
  <cols>
    <col min="1" max="1" width="40" customWidth="1"/>
    <col min="2" max="2" width="20" customWidth="1"/>
  </cols>
  <sheetData>
    <row r="1" spans="1:2" ht="15.5" x14ac:dyDescent="0.35">
      <c r="A1" s="35" t="s">
        <v>215</v>
      </c>
      <c r="B1" s="33"/>
    </row>
    <row r="3" spans="1:2" x14ac:dyDescent="0.35">
      <c r="A3" s="32" t="s">
        <v>216</v>
      </c>
      <c r="B3" s="33"/>
    </row>
    <row r="4" spans="1:2" x14ac:dyDescent="0.35">
      <c r="A4" t="s">
        <v>217</v>
      </c>
      <c r="B4" s="8">
        <f>GrossRent</f>
        <v>600000</v>
      </c>
    </row>
    <row r="5" spans="1:2" x14ac:dyDescent="0.35">
      <c r="A5" t="s">
        <v>218</v>
      </c>
      <c r="B5" s="8">
        <f>OtherIncome</f>
        <v>20000</v>
      </c>
    </row>
    <row r="6" spans="1:2" x14ac:dyDescent="0.35">
      <c r="A6" t="s">
        <v>219</v>
      </c>
      <c r="B6" s="8">
        <f>B4+B5</f>
        <v>620000</v>
      </c>
    </row>
    <row r="8" spans="1:2" x14ac:dyDescent="0.35">
      <c r="A8" s="32" t="s">
        <v>220</v>
      </c>
      <c r="B8" s="33"/>
    </row>
    <row r="9" spans="1:2" x14ac:dyDescent="0.35">
      <c r="A9" t="s">
        <v>169</v>
      </c>
      <c r="B9" s="10">
        <f>VacancyRate/100</f>
        <v>0.05</v>
      </c>
    </row>
    <row r="10" spans="1:2" x14ac:dyDescent="0.35">
      <c r="A10" t="s">
        <v>221</v>
      </c>
      <c r="B10" s="8">
        <f>B6*(VacancyRate/100)</f>
        <v>31000</v>
      </c>
    </row>
    <row r="12" spans="1:2" x14ac:dyDescent="0.35">
      <c r="A12" t="s">
        <v>222</v>
      </c>
      <c r="B12" s="9">
        <f>B6-B10</f>
        <v>589000</v>
      </c>
    </row>
    <row r="14" spans="1:2" x14ac:dyDescent="0.35">
      <c r="A14" s="32" t="s">
        <v>223</v>
      </c>
      <c r="B14" s="33"/>
    </row>
    <row r="15" spans="1:2" x14ac:dyDescent="0.35">
      <c r="A15" t="s">
        <v>224</v>
      </c>
      <c r="B15" s="8">
        <f>PropTaxes</f>
        <v>60000</v>
      </c>
    </row>
    <row r="16" spans="1:2" x14ac:dyDescent="0.35">
      <c r="A16" t="s">
        <v>225</v>
      </c>
      <c r="B16" s="8">
        <f>Insurance</f>
        <v>18000</v>
      </c>
    </row>
    <row r="17" spans="1:2" x14ac:dyDescent="0.35">
      <c r="A17" t="s">
        <v>226</v>
      </c>
      <c r="B17" s="8">
        <f>B12*(MgmtPct/100)</f>
        <v>29450</v>
      </c>
    </row>
    <row r="18" spans="1:2" x14ac:dyDescent="0.35">
      <c r="A18" t="s">
        <v>227</v>
      </c>
      <c r="B18" s="8">
        <f>Repairs</f>
        <v>30000</v>
      </c>
    </row>
    <row r="19" spans="1:2" x14ac:dyDescent="0.35">
      <c r="A19" t="s">
        <v>228</v>
      </c>
      <c r="B19" s="8">
        <f>Utilities</f>
        <v>24000</v>
      </c>
    </row>
    <row r="20" spans="1:2" x14ac:dyDescent="0.35">
      <c r="A20" t="s">
        <v>229</v>
      </c>
      <c r="B20" s="8">
        <f>Landscaping</f>
        <v>12000</v>
      </c>
    </row>
    <row r="21" spans="1:2" x14ac:dyDescent="0.35">
      <c r="A21" t="s">
        <v>230</v>
      </c>
      <c r="B21" s="8">
        <f>Administrative</f>
        <v>8000</v>
      </c>
    </row>
    <row r="22" spans="1:2" x14ac:dyDescent="0.35">
      <c r="A22" t="s">
        <v>231</v>
      </c>
      <c r="B22" s="8">
        <f>Marketing</f>
        <v>6000</v>
      </c>
    </row>
    <row r="23" spans="1:2" x14ac:dyDescent="0.35">
      <c r="A23" t="s">
        <v>232</v>
      </c>
      <c r="B23" s="8">
        <f>OtherOpex</f>
        <v>5000</v>
      </c>
    </row>
    <row r="25" spans="1:2" x14ac:dyDescent="0.35">
      <c r="A25" t="s">
        <v>233</v>
      </c>
      <c r="B25" s="9">
        <f>SUM(B15:B23)</f>
        <v>192450</v>
      </c>
    </row>
    <row r="27" spans="1:2" x14ac:dyDescent="0.35">
      <c r="A27" t="s">
        <v>234</v>
      </c>
      <c r="B27" s="9">
        <f>B12-B25</f>
        <v>396550</v>
      </c>
    </row>
    <row r="29" spans="1:2" x14ac:dyDescent="0.35">
      <c r="A29" s="32" t="s">
        <v>235</v>
      </c>
      <c r="B29" s="33"/>
    </row>
    <row r="30" spans="1:2" x14ac:dyDescent="0.35">
      <c r="A30" t="s">
        <v>236</v>
      </c>
      <c r="B30" s="10">
        <f>IF(B12&gt;0,B25/B12,0)</f>
        <v>0.32674023769100169</v>
      </c>
    </row>
    <row r="31" spans="1:2" x14ac:dyDescent="0.35">
      <c r="A31" t="s">
        <v>237</v>
      </c>
      <c r="B31" s="10">
        <f>IF(B12&gt;0,B27/B12,0)</f>
        <v>0.67325976230899831</v>
      </c>
    </row>
    <row r="32" spans="1:2" x14ac:dyDescent="0.35">
      <c r="A32" t="s">
        <v>238</v>
      </c>
      <c r="B32" s="8">
        <f>IF(Units&gt;0,B12/Units,0)</f>
        <v>24541.666666666668</v>
      </c>
    </row>
    <row r="33" spans="1:2" x14ac:dyDescent="0.35">
      <c r="A33" t="s">
        <v>239</v>
      </c>
      <c r="B33" s="8">
        <f>IF(Units&gt;0,B25/Units,0)</f>
        <v>8018.75</v>
      </c>
    </row>
    <row r="34" spans="1:2" x14ac:dyDescent="0.35">
      <c r="A34" t="s">
        <v>240</v>
      </c>
      <c r="B34" s="8">
        <f>IF(Units&gt;0,B27/Units,0)</f>
        <v>16522.916666666668</v>
      </c>
    </row>
  </sheetData>
  <sheetProtection password="DE47" sheet="1"/>
  <mergeCells count="5">
    <mergeCell ref="A29:B29"/>
    <mergeCell ref="A14:B14"/>
    <mergeCell ref="A1:B1"/>
    <mergeCell ref="A8:B8"/>
    <mergeCell ref="A3:B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
  <sheetViews>
    <sheetView workbookViewId="0"/>
  </sheetViews>
  <sheetFormatPr defaultRowHeight="14.5" x14ac:dyDescent="0.35"/>
  <cols>
    <col min="1" max="1" width="35" customWidth="1"/>
    <col min="2" max="7" width="15" customWidth="1"/>
  </cols>
  <sheetData>
    <row r="1" spans="1:7" ht="15.5" x14ac:dyDescent="0.35">
      <c r="A1" s="35" t="s">
        <v>241</v>
      </c>
      <c r="B1" s="33"/>
      <c r="C1" s="33"/>
      <c r="D1" s="33"/>
      <c r="E1" s="33"/>
      <c r="F1" s="33"/>
      <c r="G1" s="33"/>
    </row>
    <row r="3" spans="1:7" x14ac:dyDescent="0.35">
      <c r="B3" s="11" t="s">
        <v>242</v>
      </c>
      <c r="C3" s="11" t="s">
        <v>243</v>
      </c>
      <c r="D3" s="11" t="s">
        <v>244</v>
      </c>
      <c r="E3" s="11" t="s">
        <v>245</v>
      </c>
      <c r="F3" s="11" t="s">
        <v>246</v>
      </c>
    </row>
    <row r="4" spans="1:7" x14ac:dyDescent="0.35">
      <c r="A4" t="s">
        <v>217</v>
      </c>
      <c r="B4" s="12">
        <f>GrossRent</f>
        <v>600000</v>
      </c>
      <c r="C4" s="12">
        <f t="shared" ref="C4:F5" si="0">B4*(1+RentGrowth/100)</f>
        <v>618000</v>
      </c>
      <c r="D4" s="12">
        <f t="shared" si="0"/>
        <v>636540</v>
      </c>
      <c r="E4" s="12">
        <f t="shared" si="0"/>
        <v>655636.20000000007</v>
      </c>
      <c r="F4" s="12">
        <f t="shared" si="0"/>
        <v>675305.28600000008</v>
      </c>
    </row>
    <row r="5" spans="1:7" x14ac:dyDescent="0.35">
      <c r="A5" t="s">
        <v>218</v>
      </c>
      <c r="B5" s="12">
        <f>OtherIncome</f>
        <v>20000</v>
      </c>
      <c r="C5" s="12">
        <f t="shared" si="0"/>
        <v>20600</v>
      </c>
      <c r="D5" s="12">
        <f t="shared" si="0"/>
        <v>21218</v>
      </c>
      <c r="E5" s="12">
        <f t="shared" si="0"/>
        <v>21854.54</v>
      </c>
      <c r="F5" s="12">
        <f t="shared" si="0"/>
        <v>22510.176200000002</v>
      </c>
    </row>
    <row r="6" spans="1:7" x14ac:dyDescent="0.35">
      <c r="A6" t="s">
        <v>219</v>
      </c>
      <c r="B6" s="12">
        <f>B4+B5</f>
        <v>620000</v>
      </c>
      <c r="C6" s="12">
        <f>C4+C5</f>
        <v>638600</v>
      </c>
      <c r="D6" s="12">
        <f>D4+D5</f>
        <v>657758</v>
      </c>
      <c r="E6" s="12">
        <f>E4+E5</f>
        <v>677490.74000000011</v>
      </c>
      <c r="F6" s="12">
        <f>F4+F5</f>
        <v>697815.46220000007</v>
      </c>
    </row>
    <row r="7" spans="1:7" x14ac:dyDescent="0.35">
      <c r="A7" t="s">
        <v>247</v>
      </c>
      <c r="B7" s="12">
        <f>B6*(VacancyRate/100)</f>
        <v>31000</v>
      </c>
      <c r="C7" s="12">
        <f>C6*(VacancyRate/100)</f>
        <v>31930</v>
      </c>
      <c r="D7" s="12">
        <f>D6*(VacancyRate/100)</f>
        <v>32887.9</v>
      </c>
      <c r="E7" s="12">
        <f>E6*(VacancyRate/100)</f>
        <v>33874.537000000004</v>
      </c>
      <c r="F7" s="12">
        <f>F6*(VacancyRate/100)</f>
        <v>34890.773110000002</v>
      </c>
    </row>
    <row r="8" spans="1:7" x14ac:dyDescent="0.35">
      <c r="A8" s="13" t="s">
        <v>222</v>
      </c>
      <c r="B8" s="14">
        <f>B6-B7</f>
        <v>589000</v>
      </c>
      <c r="C8" s="14">
        <f>C6-C7</f>
        <v>606670</v>
      </c>
      <c r="D8" s="14">
        <f>D6-D7</f>
        <v>624870.1</v>
      </c>
      <c r="E8" s="14">
        <f>E6-E7</f>
        <v>643616.2030000001</v>
      </c>
      <c r="F8" s="14">
        <f>F6-F7</f>
        <v>662924.68909000012</v>
      </c>
    </row>
    <row r="10" spans="1:7" x14ac:dyDescent="0.35">
      <c r="A10" t="s">
        <v>248</v>
      </c>
      <c r="B10" s="12">
        <f>'2️⃣ Year 1 Pro Forma'!B25</f>
        <v>192450</v>
      </c>
      <c r="C10" s="12">
        <f>B10*(1+ExpenseGrowth/100)</f>
        <v>197261.24999999997</v>
      </c>
      <c r="D10" s="12">
        <f>C10*(1+ExpenseGrowth/100)</f>
        <v>202192.78124999994</v>
      </c>
      <c r="E10" s="12">
        <f>D10*(1+ExpenseGrowth/100)</f>
        <v>207247.60078124993</v>
      </c>
      <c r="F10" s="12">
        <f>E10*(1+ExpenseGrowth/100)</f>
        <v>212428.79080078116</v>
      </c>
    </row>
    <row r="12" spans="1:7" x14ac:dyDescent="0.35">
      <c r="A12" s="13" t="s">
        <v>249</v>
      </c>
      <c r="B12" s="14">
        <f>B8-B10</f>
        <v>396550</v>
      </c>
      <c r="C12" s="14">
        <f>C8-C10</f>
        <v>409408.75</v>
      </c>
      <c r="D12" s="14">
        <f>D8-D10</f>
        <v>422677.31875000003</v>
      </c>
      <c r="E12" s="14">
        <f>E8-E10</f>
        <v>436368.60221875017</v>
      </c>
      <c r="F12" s="14">
        <f>F8-F10</f>
        <v>450495.89828921895</v>
      </c>
    </row>
  </sheetData>
  <sheetProtection password="DE47" sheet="1"/>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workbookViewId="0">
      <selection sqref="A1:L1"/>
    </sheetView>
  </sheetViews>
  <sheetFormatPr defaultRowHeight="14.5" x14ac:dyDescent="0.35"/>
  <cols>
    <col min="1" max="1" width="30" customWidth="1"/>
    <col min="2" max="12" width="12" customWidth="1"/>
  </cols>
  <sheetData>
    <row r="1" spans="1:12" ht="15.5" x14ac:dyDescent="0.35">
      <c r="A1" s="35" t="s">
        <v>250</v>
      </c>
      <c r="B1" s="33"/>
      <c r="C1" s="33"/>
      <c r="D1" s="33"/>
      <c r="E1" s="33"/>
      <c r="F1" s="33"/>
      <c r="G1" s="33"/>
      <c r="H1" s="33"/>
      <c r="I1" s="33"/>
      <c r="J1" s="33"/>
      <c r="K1" s="33"/>
      <c r="L1" s="33"/>
    </row>
    <row r="3" spans="1:12" x14ac:dyDescent="0.35">
      <c r="B3" s="15" t="s">
        <v>242</v>
      </c>
      <c r="C3" s="15" t="s">
        <v>243</v>
      </c>
      <c r="D3" s="15" t="s">
        <v>244</v>
      </c>
      <c r="E3" s="15" t="s">
        <v>245</v>
      </c>
      <c r="F3" s="15" t="s">
        <v>246</v>
      </c>
      <c r="G3" s="15" t="s">
        <v>251</v>
      </c>
      <c r="H3" s="15" t="s">
        <v>252</v>
      </c>
      <c r="I3" s="15" t="s">
        <v>253</v>
      </c>
      <c r="J3" s="15" t="s">
        <v>254</v>
      </c>
      <c r="K3" s="15" t="s">
        <v>255</v>
      </c>
    </row>
    <row r="4" spans="1:12" x14ac:dyDescent="0.35">
      <c r="A4" t="s">
        <v>217</v>
      </c>
      <c r="B4" s="16">
        <f>GrossRent</f>
        <v>600000</v>
      </c>
      <c r="C4" s="16">
        <f t="shared" ref="C4:K4" si="0">B4*(1+RentGrowth/100)</f>
        <v>618000</v>
      </c>
      <c r="D4" s="16">
        <f t="shared" si="0"/>
        <v>636540</v>
      </c>
      <c r="E4" s="16">
        <f t="shared" si="0"/>
        <v>655636.20000000007</v>
      </c>
      <c r="F4" s="16">
        <f t="shared" si="0"/>
        <v>675305.28600000008</v>
      </c>
      <c r="G4" s="16">
        <f t="shared" si="0"/>
        <v>695564.44458000013</v>
      </c>
      <c r="H4" s="16">
        <f t="shared" si="0"/>
        <v>716431.3779174001</v>
      </c>
      <c r="I4" s="16">
        <f t="shared" si="0"/>
        <v>737924.3192549221</v>
      </c>
      <c r="J4" s="16">
        <f t="shared" si="0"/>
        <v>760062.04883256974</v>
      </c>
      <c r="K4" s="16">
        <f t="shared" si="0"/>
        <v>782863.91029754688</v>
      </c>
    </row>
    <row r="5" spans="1:12" x14ac:dyDescent="0.35">
      <c r="A5" t="s">
        <v>218</v>
      </c>
      <c r="B5" s="16">
        <f>OtherIncome</f>
        <v>20000</v>
      </c>
      <c r="C5" s="16">
        <f t="shared" ref="C5:K5" si="1">B5*(1+RentGrowth/100)</f>
        <v>20600</v>
      </c>
      <c r="D5" s="16">
        <f t="shared" si="1"/>
        <v>21218</v>
      </c>
      <c r="E5" s="16">
        <f t="shared" si="1"/>
        <v>21854.54</v>
      </c>
      <c r="F5" s="16">
        <f t="shared" si="1"/>
        <v>22510.176200000002</v>
      </c>
      <c r="G5" s="16">
        <f t="shared" si="1"/>
        <v>23185.481486000001</v>
      </c>
      <c r="H5" s="16">
        <f t="shared" si="1"/>
        <v>23881.04593058</v>
      </c>
      <c r="I5" s="16">
        <f t="shared" si="1"/>
        <v>24597.4773084974</v>
      </c>
      <c r="J5" s="16">
        <f t="shared" si="1"/>
        <v>25335.401627752322</v>
      </c>
      <c r="K5" s="16">
        <f t="shared" si="1"/>
        <v>26095.463676584892</v>
      </c>
    </row>
    <row r="6" spans="1:12" x14ac:dyDescent="0.35">
      <c r="A6" t="s">
        <v>219</v>
      </c>
      <c r="B6" s="16">
        <f t="shared" ref="B6:K6" si="2">B4+B5</f>
        <v>620000</v>
      </c>
      <c r="C6" s="16">
        <f t="shared" si="2"/>
        <v>638600</v>
      </c>
      <c r="D6" s="16">
        <f t="shared" si="2"/>
        <v>657758</v>
      </c>
      <c r="E6" s="16">
        <f t="shared" si="2"/>
        <v>677490.74000000011</v>
      </c>
      <c r="F6" s="16">
        <f t="shared" si="2"/>
        <v>697815.46220000007</v>
      </c>
      <c r="G6" s="16">
        <f t="shared" si="2"/>
        <v>718749.92606600013</v>
      </c>
      <c r="H6" s="16">
        <f t="shared" si="2"/>
        <v>740312.4238479801</v>
      </c>
      <c r="I6" s="16">
        <f t="shared" si="2"/>
        <v>762521.79656341951</v>
      </c>
      <c r="J6" s="16">
        <f t="shared" si="2"/>
        <v>785397.45046032208</v>
      </c>
      <c r="K6" s="16">
        <f t="shared" si="2"/>
        <v>808959.37397413177</v>
      </c>
    </row>
    <row r="7" spans="1:12" x14ac:dyDescent="0.35">
      <c r="A7" t="s">
        <v>247</v>
      </c>
      <c r="B7" s="16">
        <f t="shared" ref="B7:K7" si="3">B6*(VacancyRate/100)</f>
        <v>31000</v>
      </c>
      <c r="C7" s="16">
        <f t="shared" si="3"/>
        <v>31930</v>
      </c>
      <c r="D7" s="16">
        <f t="shared" si="3"/>
        <v>32887.9</v>
      </c>
      <c r="E7" s="16">
        <f t="shared" si="3"/>
        <v>33874.537000000004</v>
      </c>
      <c r="F7" s="16">
        <f t="shared" si="3"/>
        <v>34890.773110000002</v>
      </c>
      <c r="G7" s="16">
        <f t="shared" si="3"/>
        <v>35937.496303300009</v>
      </c>
      <c r="H7" s="16">
        <f t="shared" si="3"/>
        <v>37015.621192399005</v>
      </c>
      <c r="I7" s="16">
        <f t="shared" si="3"/>
        <v>38126.089828170974</v>
      </c>
      <c r="J7" s="16">
        <f t="shared" si="3"/>
        <v>39269.872523016107</v>
      </c>
      <c r="K7" s="16">
        <f t="shared" si="3"/>
        <v>40447.968698706594</v>
      </c>
    </row>
    <row r="8" spans="1:12" x14ac:dyDescent="0.35">
      <c r="A8" s="17" t="s">
        <v>222</v>
      </c>
      <c r="B8" s="18">
        <f t="shared" ref="B8:K8" si="4">B6-B7</f>
        <v>589000</v>
      </c>
      <c r="C8" s="18">
        <f t="shared" si="4"/>
        <v>606670</v>
      </c>
      <c r="D8" s="18">
        <f t="shared" si="4"/>
        <v>624870.1</v>
      </c>
      <c r="E8" s="18">
        <f t="shared" si="4"/>
        <v>643616.2030000001</v>
      </c>
      <c r="F8" s="18">
        <f t="shared" si="4"/>
        <v>662924.68909000012</v>
      </c>
      <c r="G8" s="18">
        <f t="shared" si="4"/>
        <v>682812.42976270011</v>
      </c>
      <c r="H8" s="18">
        <f t="shared" si="4"/>
        <v>703296.80265558115</v>
      </c>
      <c r="I8" s="18">
        <f t="shared" si="4"/>
        <v>724395.70673524856</v>
      </c>
      <c r="J8" s="18">
        <f t="shared" si="4"/>
        <v>746127.57793730602</v>
      </c>
      <c r="K8" s="18">
        <f t="shared" si="4"/>
        <v>768511.40527542518</v>
      </c>
    </row>
    <row r="10" spans="1:12" x14ac:dyDescent="0.35">
      <c r="A10" t="s">
        <v>248</v>
      </c>
      <c r="B10" s="16">
        <f>'2️⃣ Year 1 Pro Forma'!B25</f>
        <v>192450</v>
      </c>
      <c r="C10" s="16">
        <f t="shared" ref="C10:K10" si="5">B10*(1+ExpenseGrowth/100)</f>
        <v>197261.24999999997</v>
      </c>
      <c r="D10" s="16">
        <f t="shared" si="5"/>
        <v>202192.78124999994</v>
      </c>
      <c r="E10" s="16">
        <f t="shared" si="5"/>
        <v>207247.60078124993</v>
      </c>
      <c r="F10" s="16">
        <f t="shared" si="5"/>
        <v>212428.79080078116</v>
      </c>
      <c r="G10" s="16">
        <f t="shared" si="5"/>
        <v>217739.51057080069</v>
      </c>
      <c r="H10" s="16">
        <f t="shared" si="5"/>
        <v>223182.99833507068</v>
      </c>
      <c r="I10" s="16">
        <f t="shared" si="5"/>
        <v>228762.57329344744</v>
      </c>
      <c r="J10" s="16">
        <f t="shared" si="5"/>
        <v>234481.63762578359</v>
      </c>
      <c r="K10" s="16">
        <f t="shared" si="5"/>
        <v>240343.67856642816</v>
      </c>
    </row>
    <row r="12" spans="1:12" x14ac:dyDescent="0.35">
      <c r="A12" s="17" t="s">
        <v>249</v>
      </c>
      <c r="B12" s="18">
        <f t="shared" ref="B12:K12" si="6">B8-B10</f>
        <v>396550</v>
      </c>
      <c r="C12" s="18">
        <f t="shared" si="6"/>
        <v>409408.75</v>
      </c>
      <c r="D12" s="18">
        <f t="shared" si="6"/>
        <v>422677.31875000003</v>
      </c>
      <c r="E12" s="18">
        <f t="shared" si="6"/>
        <v>436368.60221875017</v>
      </c>
      <c r="F12" s="18">
        <f t="shared" si="6"/>
        <v>450495.89828921895</v>
      </c>
      <c r="G12" s="18">
        <f t="shared" si="6"/>
        <v>465072.91919189942</v>
      </c>
      <c r="H12" s="18">
        <f t="shared" si="6"/>
        <v>480113.80432051048</v>
      </c>
      <c r="I12" s="18">
        <f t="shared" si="6"/>
        <v>495633.13344180112</v>
      </c>
      <c r="J12" s="18">
        <f t="shared" si="6"/>
        <v>511645.94031152246</v>
      </c>
      <c r="K12" s="18">
        <f t="shared" si="6"/>
        <v>528167.72670899704</v>
      </c>
    </row>
  </sheetData>
  <sheetProtection password="DE47" sheet="1"/>
  <mergeCells count="1">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0"/>
  <sheetViews>
    <sheetView workbookViewId="0">
      <selection activeCell="D15" sqref="D15"/>
    </sheetView>
  </sheetViews>
  <sheetFormatPr defaultRowHeight="14.5" x14ac:dyDescent="0.35"/>
  <cols>
    <col min="1" max="1" width="40" customWidth="1"/>
    <col min="2" max="2" width="20" customWidth="1"/>
  </cols>
  <sheetData>
    <row r="1" spans="1:2" ht="15.5" x14ac:dyDescent="0.35">
      <c r="A1" s="35" t="s">
        <v>256</v>
      </c>
      <c r="B1" s="33"/>
    </row>
    <row r="3" spans="1:2" x14ac:dyDescent="0.35">
      <c r="A3" s="32" t="s">
        <v>257</v>
      </c>
      <c r="B3" s="33"/>
    </row>
    <row r="4" spans="1:2" x14ac:dyDescent="0.35">
      <c r="A4" t="s">
        <v>190</v>
      </c>
      <c r="B4" s="8">
        <f>LoanAmount</f>
        <v>3750000</v>
      </c>
    </row>
    <row r="5" spans="1:2" x14ac:dyDescent="0.35">
      <c r="A5" t="s">
        <v>192</v>
      </c>
      <c r="B5" s="19">
        <f>InterestRate/100</f>
        <v>6.5000000000000002E-2</v>
      </c>
    </row>
    <row r="6" spans="1:2" x14ac:dyDescent="0.35">
      <c r="A6" t="s">
        <v>194</v>
      </c>
      <c r="B6" s="20">
        <f>LoanTerm</f>
        <v>10</v>
      </c>
    </row>
    <row r="7" spans="1:2" x14ac:dyDescent="0.35">
      <c r="A7" t="s">
        <v>258</v>
      </c>
      <c r="B7" s="20">
        <f>Amortization</f>
        <v>30</v>
      </c>
    </row>
    <row r="8" spans="1:2" x14ac:dyDescent="0.35">
      <c r="A8" t="s">
        <v>259</v>
      </c>
      <c r="B8" s="8">
        <f>IF(AND(InterestRate&gt;0,Amortization&gt;0,LoanAmount&gt;0),-PMT(InterestRate/100,Amortization,LoanAmount),0)</f>
        <v>287165.40842216474</v>
      </c>
    </row>
    <row r="9" spans="1:2" x14ac:dyDescent="0.35">
      <c r="A9" t="s">
        <v>260</v>
      </c>
      <c r="B9" s="8">
        <f>B8/12</f>
        <v>23930.450701847061</v>
      </c>
    </row>
    <row r="11" spans="1:2" x14ac:dyDescent="0.35">
      <c r="A11" s="32" t="s">
        <v>261</v>
      </c>
      <c r="B11" s="33"/>
    </row>
    <row r="12" spans="1:2" x14ac:dyDescent="0.35">
      <c r="A12" t="s">
        <v>262</v>
      </c>
      <c r="B12" s="8">
        <f>'1️⃣ Acquisition'!B14</f>
        <v>5875000</v>
      </c>
    </row>
    <row r="13" spans="1:2" x14ac:dyDescent="0.35">
      <c r="A13" t="s">
        <v>263</v>
      </c>
      <c r="B13" s="8">
        <f>LoanAmount</f>
        <v>3750000</v>
      </c>
    </row>
    <row r="14" spans="1:2" x14ac:dyDescent="0.35">
      <c r="A14" t="s">
        <v>264</v>
      </c>
      <c r="B14" s="9">
        <f>B12-B13</f>
        <v>2125000</v>
      </c>
    </row>
    <row r="16" spans="1:2" x14ac:dyDescent="0.35">
      <c r="A16" s="32" t="s">
        <v>265</v>
      </c>
      <c r="B16" s="33"/>
    </row>
    <row r="17" spans="1:2" x14ac:dyDescent="0.35">
      <c r="A17" t="s">
        <v>266</v>
      </c>
      <c r="B17" s="19">
        <f>IF(PurchasePrice&gt;0,LoanAmount/PurchasePrice,0)</f>
        <v>0.75</v>
      </c>
    </row>
    <row r="18" spans="1:2" x14ac:dyDescent="0.35">
      <c r="A18" t="s">
        <v>267</v>
      </c>
      <c r="B18" s="19">
        <f>IF(B12&gt;0,LoanAmount/B12,0)</f>
        <v>0.63829787234042556</v>
      </c>
    </row>
    <row r="19" spans="1:2" x14ac:dyDescent="0.35">
      <c r="A19" t="s">
        <v>268</v>
      </c>
      <c r="B19" s="19">
        <f>IF(B12&gt;0,B14/B12,0)</f>
        <v>0.36170212765957449</v>
      </c>
    </row>
    <row r="21" spans="1:2" x14ac:dyDescent="0.35">
      <c r="A21" s="32" t="s">
        <v>269</v>
      </c>
      <c r="B21" s="33"/>
    </row>
    <row r="22" spans="1:2" x14ac:dyDescent="0.35">
      <c r="A22" t="s">
        <v>270</v>
      </c>
      <c r="B22" s="8">
        <f>Year1NOI</f>
        <v>396550</v>
      </c>
    </row>
    <row r="23" spans="1:2" x14ac:dyDescent="0.35">
      <c r="A23" t="s">
        <v>271</v>
      </c>
      <c r="B23" s="8">
        <f>B8</f>
        <v>287165.40842216474</v>
      </c>
    </row>
    <row r="24" spans="1:2" x14ac:dyDescent="0.35">
      <c r="A24" t="s">
        <v>272</v>
      </c>
      <c r="B24" s="9">
        <f>B22-B23</f>
        <v>109384.59157783526</v>
      </c>
    </row>
    <row r="26" spans="1:2" x14ac:dyDescent="0.35">
      <c r="A26" s="32" t="s">
        <v>273</v>
      </c>
      <c r="B26" s="33"/>
    </row>
    <row r="27" spans="1:2" x14ac:dyDescent="0.35">
      <c r="A27" t="s">
        <v>274</v>
      </c>
      <c r="B27" s="19">
        <f>IF(PurchasePrice&gt;0,Year1NOI/PurchasePrice,0)</f>
        <v>7.9310000000000005E-2</v>
      </c>
    </row>
    <row r="28" spans="1:2" x14ac:dyDescent="0.35">
      <c r="A28" t="s">
        <v>275</v>
      </c>
      <c r="B28" s="19">
        <f>IF(B14&gt;0,B24/B14,0)</f>
        <v>5.1475101918981303E-2</v>
      </c>
    </row>
    <row r="29" spans="1:2" x14ac:dyDescent="0.35">
      <c r="A29" t="s">
        <v>276</v>
      </c>
      <c r="B29" s="31">
        <f>IF(B23&gt;0,B22/B23,0)</f>
        <v>1.3809114481401181</v>
      </c>
    </row>
    <row r="30" spans="1:2" x14ac:dyDescent="0.35">
      <c r="A30" t="s">
        <v>277</v>
      </c>
      <c r="B30" s="19">
        <f>IF(LoanAmount&gt;0,B22/LoanAmount,0)</f>
        <v>0.10574666666666667</v>
      </c>
    </row>
  </sheetData>
  <sheetProtection password="DE47" sheet="1"/>
  <mergeCells count="6">
    <mergeCell ref="A26:B26"/>
    <mergeCell ref="A21:B21"/>
    <mergeCell ref="A16:B16"/>
    <mergeCell ref="A11:B11"/>
    <mergeCell ref="A1:B1"/>
    <mergeCell ref="A3:B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7"/>
  <sheetViews>
    <sheetView workbookViewId="0">
      <selection sqref="A1:B1"/>
    </sheetView>
  </sheetViews>
  <sheetFormatPr defaultRowHeight="14.5" x14ac:dyDescent="0.35"/>
  <cols>
    <col min="1" max="1" width="40" customWidth="1"/>
    <col min="2" max="2" width="20" customWidth="1"/>
  </cols>
  <sheetData>
    <row r="1" spans="1:2" ht="15.5" x14ac:dyDescent="0.35">
      <c r="A1" s="35" t="s">
        <v>278</v>
      </c>
      <c r="B1" s="33"/>
    </row>
    <row r="3" spans="1:2" x14ac:dyDescent="0.35">
      <c r="A3" s="32" t="s">
        <v>279</v>
      </c>
      <c r="B3" s="33"/>
    </row>
    <row r="4" spans="1:2" x14ac:dyDescent="0.35">
      <c r="A4" t="s">
        <v>143</v>
      </c>
      <c r="B4" s="20">
        <f>HoldPeriod</f>
        <v>5</v>
      </c>
    </row>
    <row r="5" spans="1:2" x14ac:dyDescent="0.35">
      <c r="A5" t="s">
        <v>203</v>
      </c>
      <c r="B5" s="10">
        <f>ExitCapRate/100</f>
        <v>5.5E-2</v>
      </c>
    </row>
    <row r="6" spans="1:2" x14ac:dyDescent="0.35">
      <c r="A6" t="s">
        <v>280</v>
      </c>
      <c r="B6" s="8">
        <f>IF(HoldPeriod&lt;=5,Year5NOI,Year10NOI)</f>
        <v>450495.89828921895</v>
      </c>
    </row>
    <row r="8" spans="1:2" x14ac:dyDescent="0.35">
      <c r="A8" s="32" t="s">
        <v>281</v>
      </c>
      <c r="B8" s="33"/>
    </row>
    <row r="9" spans="1:2" x14ac:dyDescent="0.35">
      <c r="A9" t="s">
        <v>282</v>
      </c>
      <c r="B9" s="8">
        <f>IF(ExitCapRate&gt;0,B6/(ExitCapRate/100),0)</f>
        <v>8190834.5143494355</v>
      </c>
    </row>
    <row r="10" spans="1:2" x14ac:dyDescent="0.35">
      <c r="A10" t="s">
        <v>283</v>
      </c>
      <c r="B10" s="8">
        <f>B9*0.02</f>
        <v>163816.69028698871</v>
      </c>
    </row>
    <row r="11" spans="1:2" x14ac:dyDescent="0.35">
      <c r="A11" t="s">
        <v>284</v>
      </c>
      <c r="B11" s="8">
        <f>B9-B10</f>
        <v>8027017.8240624471</v>
      </c>
    </row>
    <row r="13" spans="1:2" x14ac:dyDescent="0.35">
      <c r="A13" t="s">
        <v>285</v>
      </c>
      <c r="B13" s="8">
        <f>IF(HoldPeriod&gt;=LoanTerm,0,IF(AND(InterestRate&gt;0,Amortization&gt;0,LoanAmount&gt;0),FV(InterestRate/100,HoldPeriod,-PMT(InterestRate/100,Amortization,LoanAmount),LoanAmount),LoanAmount))</f>
        <v>-6772841.7239831155</v>
      </c>
    </row>
    <row r="15" spans="1:2" x14ac:dyDescent="0.35">
      <c r="A15" t="s">
        <v>286</v>
      </c>
      <c r="B15" s="9">
        <f>B11-B13</f>
        <v>14799859.548045563</v>
      </c>
    </row>
    <row r="17" spans="1:2" x14ac:dyDescent="0.35">
      <c r="A17" s="32" t="s">
        <v>287</v>
      </c>
      <c r="B17" s="33"/>
    </row>
    <row r="18" spans="1:2" x14ac:dyDescent="0.35">
      <c r="A18" t="s">
        <v>288</v>
      </c>
      <c r="B18" s="8">
        <f>'5️⃣ Financing &amp; Returns'!B14</f>
        <v>2125000</v>
      </c>
    </row>
    <row r="19" spans="1:2" x14ac:dyDescent="0.35">
      <c r="A19" t="s">
        <v>289</v>
      </c>
      <c r="B19" s="8">
        <f>Year1CashFlow*HoldPeriod</f>
        <v>546922.95788917632</v>
      </c>
    </row>
    <row r="20" spans="1:2" x14ac:dyDescent="0.35">
      <c r="A20" t="s">
        <v>284</v>
      </c>
      <c r="B20" s="8">
        <f>B15</f>
        <v>14799859.548045563</v>
      </c>
    </row>
    <row r="21" spans="1:2" x14ac:dyDescent="0.35">
      <c r="A21" t="s">
        <v>290</v>
      </c>
      <c r="B21" s="9">
        <f>B19+B20</f>
        <v>15346782.505934739</v>
      </c>
    </row>
    <row r="23" spans="1:2" x14ac:dyDescent="0.35">
      <c r="A23" s="36" t="s">
        <v>291</v>
      </c>
      <c r="B23" s="33"/>
    </row>
    <row r="24" spans="1:2" x14ac:dyDescent="0.35">
      <c r="A24" s="1" t="s">
        <v>292</v>
      </c>
    </row>
    <row r="25" spans="1:2" x14ac:dyDescent="0.35">
      <c r="A25" t="s">
        <v>293</v>
      </c>
      <c r="B25" s="10">
        <f>IF(B18&gt;0,(B21/B18)-1,0)</f>
        <v>6.2220152969104658</v>
      </c>
    </row>
    <row r="26" spans="1:2" x14ac:dyDescent="0.35">
      <c r="A26" t="s">
        <v>294</v>
      </c>
      <c r="B26" s="30">
        <f>IF(B18&gt;0,B21/B18,0)</f>
        <v>7.2220152969104658</v>
      </c>
    </row>
    <row r="27" spans="1:2" x14ac:dyDescent="0.35">
      <c r="A27" t="s">
        <v>295</v>
      </c>
      <c r="B27" s="10">
        <f>IF(AND(B26&gt;1,HoldPeriod&gt;0),(B26-1)/HoldPeriod,0)</f>
        <v>1.2444030593820932</v>
      </c>
    </row>
  </sheetData>
  <sheetProtection password="DE47" sheet="1"/>
  <mergeCells count="5">
    <mergeCell ref="A23:B23"/>
    <mergeCell ref="A1:B1"/>
    <mergeCell ref="A17:B17"/>
    <mergeCell ref="A8:B8"/>
    <mergeCell ref="A3:B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3"/>
  <sheetViews>
    <sheetView topLeftCell="A22" workbookViewId="0">
      <selection activeCell="B34" sqref="B34"/>
    </sheetView>
  </sheetViews>
  <sheetFormatPr defaultRowHeight="14.5" x14ac:dyDescent="0.35"/>
  <cols>
    <col min="1" max="1" width="40" customWidth="1"/>
    <col min="2" max="2" width="25" customWidth="1"/>
  </cols>
  <sheetData>
    <row r="1" spans="1:2" ht="30" customHeight="1" x14ac:dyDescent="0.35">
      <c r="A1" s="38" t="s">
        <v>296</v>
      </c>
      <c r="B1" s="33"/>
    </row>
    <row r="3" spans="1:2" ht="15.5" x14ac:dyDescent="0.35">
      <c r="A3" s="37" t="s">
        <v>297</v>
      </c>
      <c r="B3" s="33"/>
    </row>
    <row r="4" spans="1:2" x14ac:dyDescent="0.35">
      <c r="A4" t="s">
        <v>298</v>
      </c>
      <c r="B4" s="22" t="str">
        <f>PropName</f>
        <v>123 Main Street</v>
      </c>
    </row>
    <row r="5" spans="1:2" x14ac:dyDescent="0.35">
      <c r="A5" t="s">
        <v>299</v>
      </c>
      <c r="B5" s="22" t="str">
        <f>City&amp;", "&amp;State&amp;" "&amp;ZipCode</f>
        <v>Austin, TX 78701</v>
      </c>
    </row>
    <row r="6" spans="1:2" x14ac:dyDescent="0.35">
      <c r="A6" t="s">
        <v>133</v>
      </c>
      <c r="B6" s="22" t="str">
        <f>PropType</f>
        <v>Multi-Family</v>
      </c>
    </row>
    <row r="7" spans="1:2" x14ac:dyDescent="0.35">
      <c r="A7" t="s">
        <v>136</v>
      </c>
      <c r="B7" s="23">
        <f>Units</f>
        <v>24</v>
      </c>
    </row>
    <row r="8" spans="1:2" x14ac:dyDescent="0.35">
      <c r="A8" t="s">
        <v>300</v>
      </c>
      <c r="B8" s="23">
        <f>SqFt</f>
        <v>18000</v>
      </c>
    </row>
    <row r="9" spans="1:2" x14ac:dyDescent="0.35">
      <c r="A9" t="s">
        <v>140</v>
      </c>
      <c r="B9" s="23">
        <f>YearBuilt</f>
        <v>2005</v>
      </c>
    </row>
    <row r="11" spans="1:2" ht="15.5" x14ac:dyDescent="0.35">
      <c r="A11" s="37" t="s">
        <v>301</v>
      </c>
      <c r="B11" s="33"/>
    </row>
    <row r="12" spans="1:2" x14ac:dyDescent="0.35">
      <c r="A12" t="s">
        <v>262</v>
      </c>
      <c r="B12" s="8">
        <f>'1️⃣ Acquisition'!B14</f>
        <v>5875000</v>
      </c>
    </row>
    <row r="13" spans="1:2" x14ac:dyDescent="0.35">
      <c r="A13" t="s">
        <v>146</v>
      </c>
      <c r="B13" s="8">
        <f>PurchasePrice</f>
        <v>5000000</v>
      </c>
    </row>
    <row r="14" spans="1:2" x14ac:dyDescent="0.35">
      <c r="A14" t="s">
        <v>213</v>
      </c>
      <c r="B14" s="8">
        <f>'1️⃣ Acquisition'!B17</f>
        <v>244791.66666666666</v>
      </c>
    </row>
    <row r="15" spans="1:2" x14ac:dyDescent="0.35">
      <c r="A15" t="s">
        <v>302</v>
      </c>
      <c r="B15" s="8">
        <f>'1️⃣ Acquisition'!B18</f>
        <v>326.38888888888891</v>
      </c>
    </row>
    <row r="17" spans="1:2" ht="15.5" x14ac:dyDescent="0.35">
      <c r="A17" s="37" t="s">
        <v>303</v>
      </c>
      <c r="B17" s="33"/>
    </row>
    <row r="18" spans="1:2" x14ac:dyDescent="0.35">
      <c r="A18" t="s">
        <v>190</v>
      </c>
      <c r="B18" s="8">
        <f>LoanAmount</f>
        <v>3750000</v>
      </c>
    </row>
    <row r="19" spans="1:2" x14ac:dyDescent="0.35">
      <c r="A19" t="s">
        <v>304</v>
      </c>
      <c r="B19" s="8">
        <f>'5️⃣ Financing &amp; Returns'!B14</f>
        <v>2125000</v>
      </c>
    </row>
    <row r="20" spans="1:2" x14ac:dyDescent="0.35">
      <c r="A20" t="s">
        <v>305</v>
      </c>
      <c r="B20" s="19">
        <f>'5️⃣ Financing &amp; Returns'!B17</f>
        <v>0.75</v>
      </c>
    </row>
    <row r="21" spans="1:2" x14ac:dyDescent="0.35">
      <c r="A21" t="s">
        <v>306</v>
      </c>
      <c r="B21" s="19">
        <f>InterestRate/100</f>
        <v>6.5000000000000002E-2</v>
      </c>
    </row>
    <row r="22" spans="1:2" x14ac:dyDescent="0.35">
      <c r="A22" t="s">
        <v>307</v>
      </c>
      <c r="B22" s="23">
        <f>LoanTerm</f>
        <v>10</v>
      </c>
    </row>
    <row r="24" spans="1:2" ht="15.5" x14ac:dyDescent="0.35">
      <c r="A24" s="37" t="s">
        <v>308</v>
      </c>
      <c r="B24" s="33"/>
    </row>
    <row r="25" spans="1:2" x14ac:dyDescent="0.35">
      <c r="A25" t="s">
        <v>309</v>
      </c>
      <c r="B25" s="8">
        <f>Year1EGI</f>
        <v>589000</v>
      </c>
    </row>
    <row r="26" spans="1:2" x14ac:dyDescent="0.35">
      <c r="A26" t="s">
        <v>248</v>
      </c>
      <c r="B26" s="8">
        <f>'2️⃣ Year 1 Pro Forma'!B25</f>
        <v>192450</v>
      </c>
    </row>
    <row r="27" spans="1:2" x14ac:dyDescent="0.35">
      <c r="A27" t="s">
        <v>310</v>
      </c>
      <c r="B27" s="8">
        <f>Year1NOI</f>
        <v>396550</v>
      </c>
    </row>
    <row r="28" spans="1:2" x14ac:dyDescent="0.35">
      <c r="A28" t="s">
        <v>259</v>
      </c>
      <c r="B28" s="8">
        <f>'5️⃣ Financing &amp; Returns'!B8</f>
        <v>287165.40842216474</v>
      </c>
    </row>
    <row r="29" spans="1:2" x14ac:dyDescent="0.35">
      <c r="A29" t="s">
        <v>272</v>
      </c>
      <c r="B29" s="8">
        <f>Year1CashFlow</f>
        <v>109384.59157783526</v>
      </c>
    </row>
    <row r="31" spans="1:2" ht="15.5" x14ac:dyDescent="0.35">
      <c r="A31" s="37" t="s">
        <v>273</v>
      </c>
      <c r="B31" s="33"/>
    </row>
    <row r="32" spans="1:2" x14ac:dyDescent="0.35">
      <c r="A32" t="s">
        <v>311</v>
      </c>
      <c r="B32" s="19">
        <f>'5️⃣ Financing &amp; Returns'!B27</f>
        <v>7.9310000000000005E-2</v>
      </c>
    </row>
    <row r="33" spans="1:2" x14ac:dyDescent="0.35">
      <c r="A33" t="s">
        <v>312</v>
      </c>
      <c r="B33" s="19">
        <f>'5️⃣ Financing &amp; Returns'!B28</f>
        <v>5.1475101918981303E-2</v>
      </c>
    </row>
    <row r="34" spans="1:2" x14ac:dyDescent="0.35">
      <c r="A34" t="s">
        <v>313</v>
      </c>
      <c r="B34" s="22">
        <f>'5️⃣ Financing &amp; Returns'!B29</f>
        <v>1.3809114481401181</v>
      </c>
    </row>
    <row r="35" spans="1:2" x14ac:dyDescent="0.35">
      <c r="A35" t="s">
        <v>314</v>
      </c>
      <c r="B35" s="19">
        <f>'2️⃣ Year 1 Pro Forma'!B30</f>
        <v>0.32674023769100169</v>
      </c>
    </row>
    <row r="37" spans="1:2" ht="15.5" x14ac:dyDescent="0.35">
      <c r="A37" s="37" t="s">
        <v>315</v>
      </c>
      <c r="B37" s="33"/>
    </row>
    <row r="38" spans="1:2" x14ac:dyDescent="0.35">
      <c r="A38" t="s">
        <v>316</v>
      </c>
      <c r="B38" s="23">
        <f>HoldPeriod</f>
        <v>5</v>
      </c>
    </row>
    <row r="39" spans="1:2" x14ac:dyDescent="0.35">
      <c r="A39" t="s">
        <v>317</v>
      </c>
      <c r="B39" s="19">
        <f>ExitCapRate/100</f>
        <v>5.5E-2</v>
      </c>
    </row>
    <row r="40" spans="1:2" x14ac:dyDescent="0.35">
      <c r="A40" t="s">
        <v>318</v>
      </c>
      <c r="B40" s="8">
        <f>'6️⃣ Exit Analysis'!B9</f>
        <v>8190834.5143494355</v>
      </c>
    </row>
    <row r="41" spans="1:2" x14ac:dyDescent="0.35">
      <c r="A41" t="s">
        <v>319</v>
      </c>
      <c r="B41" s="8">
        <f>'6️⃣ Exit Analysis'!B21</f>
        <v>15346782.505934739</v>
      </c>
    </row>
    <row r="42" spans="1:2" x14ac:dyDescent="0.35">
      <c r="A42" t="s">
        <v>320</v>
      </c>
      <c r="B42" s="21">
        <f>'6️⃣ Exit Analysis'!B26</f>
        <v>7.2220152969104658</v>
      </c>
    </row>
    <row r="43" spans="1:2" x14ac:dyDescent="0.35">
      <c r="A43" t="s">
        <v>321</v>
      </c>
      <c r="B43" s="19">
        <f>'6️⃣ Exit Analysis'!B27</f>
        <v>1.2444030593820932</v>
      </c>
    </row>
  </sheetData>
  <sheetProtection password="DE47" sheet="1"/>
  <mergeCells count="7">
    <mergeCell ref="A24:B24"/>
    <mergeCell ref="A11:B11"/>
    <mergeCell ref="A37:B37"/>
    <mergeCell ref="A1:B1"/>
    <mergeCell ref="A17:B17"/>
    <mergeCell ref="A31:B31"/>
    <mergeCell ref="A3:B3"/>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23A401E8AC9545A3B60AA982249DFA" ma:contentTypeVersion="15" ma:contentTypeDescription="Create a new document." ma:contentTypeScope="" ma:versionID="9944329664fecc5bf4800a3138eb25db">
  <xsd:schema xmlns:xsd="http://www.w3.org/2001/XMLSchema" xmlns:xs="http://www.w3.org/2001/XMLSchema" xmlns:p="http://schemas.microsoft.com/office/2006/metadata/properties" xmlns:ns2="94863469-f559-447e-9623-d05bb9c030e9" xmlns:ns3="8383a29a-9177-4edf-ad15-acb67fc5969f" targetNamespace="http://schemas.microsoft.com/office/2006/metadata/properties" ma:root="true" ma:fieldsID="08d40b44e888d35d034b8d19a282368a" ns2:_="" ns3:_="">
    <xsd:import namespace="94863469-f559-447e-9623-d05bb9c030e9"/>
    <xsd:import namespace="8383a29a-9177-4edf-ad15-acb67fc596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63469-f559-447e-9623-d05bb9c030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60432936-1cb4-4753-a4c4-6bde30cc81f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83a29a-9177-4edf-ad15-acb67fc5969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cff5a84-10e1-454a-a5b9-b16b2ed881ef}" ma:internalName="TaxCatchAll" ma:showField="CatchAllData" ma:web="8383a29a-9177-4edf-ad15-acb67fc5969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383a29a-9177-4edf-ad15-acb67fc5969f" xsi:nil="true"/>
    <lcf76f155ced4ddcb4097134ff3c332f xmlns="94863469-f559-447e-9623-d05bb9c030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13DE5E-C146-40E5-9A86-0621A01F51E3}"/>
</file>

<file path=customXml/itemProps2.xml><?xml version="1.0" encoding="utf-8"?>
<ds:datastoreItem xmlns:ds="http://schemas.openxmlformats.org/officeDocument/2006/customXml" ds:itemID="{BCA829E1-7371-4BE5-B532-90FFF4721730}"/>
</file>

<file path=customXml/itemProps3.xml><?xml version="1.0" encoding="utf-8"?>
<ds:datastoreItem xmlns:ds="http://schemas.openxmlformats.org/officeDocument/2006/customXml" ds:itemID="{B5FBDFE3-D61E-4875-82A0-4D7286F0EC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43</vt:i4>
      </vt:variant>
    </vt:vector>
  </HeadingPairs>
  <TitlesOfParts>
    <vt:vector size="52" baseType="lpstr">
      <vt:lpstr>⚠️ DISCLAIMER &amp; LEGAL</vt:lpstr>
      <vt:lpstr>📝 INPUT VALUES</vt:lpstr>
      <vt:lpstr>1️⃣ Acquisition</vt:lpstr>
      <vt:lpstr>2️⃣ Year 1 Pro Forma</vt:lpstr>
      <vt:lpstr>3️⃣ 5-Year Projections</vt:lpstr>
      <vt:lpstr>4️⃣ 10-Year Projections</vt:lpstr>
      <vt:lpstr>5️⃣ Financing &amp; Returns</vt:lpstr>
      <vt:lpstr>6️⃣ Exit Analysis</vt:lpstr>
      <vt:lpstr>7️⃣ Summary Dashboard</vt:lpstr>
      <vt:lpstr>Administrative</vt:lpstr>
      <vt:lpstr>Amortization</vt:lpstr>
      <vt:lpstr>City</vt:lpstr>
      <vt:lpstr>ClosingCosts</vt:lpstr>
      <vt:lpstr>Contingency</vt:lpstr>
      <vt:lpstr>ExitCapRate</vt:lpstr>
      <vt:lpstr>ExpenseGrowth</vt:lpstr>
      <vt:lpstr>FFE</vt:lpstr>
      <vt:lpstr>FinancingFees</vt:lpstr>
      <vt:lpstr>GrossRent</vt:lpstr>
      <vt:lpstr>HoldPeriod</vt:lpstr>
      <vt:lpstr>Insurance</vt:lpstr>
      <vt:lpstr>InterestRate</vt:lpstr>
      <vt:lpstr>Landscaping</vt:lpstr>
      <vt:lpstr>LoanAmount</vt:lpstr>
      <vt:lpstr>LoanTerm</vt:lpstr>
      <vt:lpstr>Marketing</vt:lpstr>
      <vt:lpstr>MarketingCosts</vt:lpstr>
      <vt:lpstr>MgmtPct</vt:lpstr>
      <vt:lpstr>Occupancy</vt:lpstr>
      <vt:lpstr>OtherAcqCosts</vt:lpstr>
      <vt:lpstr>OtherIncome</vt:lpstr>
      <vt:lpstr>OtherOpex</vt:lpstr>
      <vt:lpstr>PropName</vt:lpstr>
      <vt:lpstr>PropTaxes</vt:lpstr>
      <vt:lpstr>PropType</vt:lpstr>
      <vt:lpstr>PurchasePrice</vt:lpstr>
      <vt:lpstr>RenovationBudget</vt:lpstr>
      <vt:lpstr>RentGrowth</vt:lpstr>
      <vt:lpstr>Repairs</vt:lpstr>
      <vt:lpstr>SqFt</vt:lpstr>
      <vt:lpstr>State</vt:lpstr>
      <vt:lpstr>Units</vt:lpstr>
      <vt:lpstr>Utilities</vt:lpstr>
      <vt:lpstr>VacancyRate</vt:lpstr>
      <vt:lpstr>WorkingCapital</vt:lpstr>
      <vt:lpstr>Year10NOI</vt:lpstr>
      <vt:lpstr>Year1CashFlow</vt:lpstr>
      <vt:lpstr>Year1EGI</vt:lpstr>
      <vt:lpstr>Year1NOI</vt:lpstr>
      <vt:lpstr>Year5NOI</vt:lpstr>
      <vt:lpstr>YearBuilt</vt:lpstr>
      <vt:lpstr>ZipCode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Pramod Attarde</cp:lastModifiedBy>
  <dcterms:created xsi:type="dcterms:W3CDTF">2025-12-08T20:04:59Z</dcterms:created>
  <dcterms:modified xsi:type="dcterms:W3CDTF">2025-12-08T21:09:39Z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0x010100C023A401E8AC9545A3B60AA982249DFA</vt:lpwstr>
  </property>
</Properties>
</file>