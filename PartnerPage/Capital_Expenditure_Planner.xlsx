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ryptoassetrating.sharepoint.com/sites/PramodAllDocs/India Business Models/Sales &amp; Marketing/USA Sales and Marketing/Marketing Material - FINAL/VEEP Capital/CapSeriesX/Partner Toolkit/"/>
    </mc:Choice>
  </mc:AlternateContent>
  <xr:revisionPtr revIDLastSave="0" documentId="14_{15F7952C-7D1A-4F63-B2E9-D9E60B9C4A01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INSTRUCTIONS" sheetId="1" r:id="rId1"/>
    <sheet name="SUMMARY" sheetId="2" r:id="rId2"/>
    <sheet name="Property_Info" sheetId="3" r:id="rId3"/>
    <sheet name="Systems_Inventory" sheetId="4" r:id="rId4"/>
    <sheet name="5_Year_CapEx_Plan" sheetId="5" r:id="rId5"/>
    <sheet name="10_Year_CapEx_Plan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D14" i="6"/>
  <c r="D13" i="6"/>
  <c r="D12" i="6"/>
  <c r="D11" i="6"/>
  <c r="D10" i="6"/>
  <c r="D9" i="6"/>
  <c r="D8" i="6"/>
  <c r="D7" i="6"/>
  <c r="D6" i="6"/>
  <c r="D5" i="6"/>
  <c r="D15" i="6" s="1"/>
  <c r="C74" i="5"/>
  <c r="C60" i="5"/>
  <c r="C46" i="5"/>
  <c r="C32" i="5"/>
  <c r="C18" i="5"/>
  <c r="E22" i="4"/>
  <c r="B7" i="2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B18" i="3"/>
  <c r="B12" i="2" s="1"/>
  <c r="B11" i="2"/>
  <c r="B9" i="2"/>
  <c r="E4" i="2"/>
  <c r="B4" i="2"/>
  <c r="B3" i="2"/>
</calcChain>
</file>

<file path=xl/sharedStrings.xml><?xml version="1.0" encoding="utf-8"?>
<sst xmlns="http://schemas.openxmlformats.org/spreadsheetml/2006/main" count="207" uniqueCount="171">
  <si>
    <t>CAPSERIESX CAPITAL EXPENDITURE PLANNER</t>
  </si>
  <si>
    <t>5-Year &amp; 10-Year Capital Planning with Reserve Fund Analysis</t>
  </si>
  <si>
    <t>Version: 1.0 | Last Updated: December 2024 | © DeFi Assets LLC</t>
  </si>
  <si>
    <t>PURPOSE &amp; OVERVIEW</t>
  </si>
  <si>
    <t>This template helps you plan, budget, and track capital expenditures (CapEx) over your investment holding period.</t>
  </si>
  <si>
    <t>Proper CapEx planning is CRITICAL for accurate return projections and avoiding unexpected capital calls.</t>
  </si>
  <si>
    <t>WHAT THIS TEMPLATE INCLUDES:</t>
  </si>
  <si>
    <t>• Major Systems Inventory - Track age, condition, and replacement costs for all major systems</t>
  </si>
  <si>
    <t>• Replacement Schedule - Automatic scheduling based on useful life</t>
  </si>
  <si>
    <t>• 5-Year CapEx Plan - Detailed year-by-year capital budget (required for Gold+)</t>
  </si>
  <si>
    <t>• 10-Year CapEx Plan - Extended planning horizon (required for Gold+)</t>
  </si>
  <si>
    <t>• Reserve Fund Calculator - Determine required capital reserves</t>
  </si>
  <si>
    <t>• Deferred Maintenance Tracker - Document immediate needs</t>
  </si>
  <si>
    <t>• Summary Dashboard - Total CapEx needs and reserve adequacy</t>
  </si>
  <si>
    <t>HOW TO USE THIS TEMPLATE:</t>
  </si>
  <si>
    <t>STEP 1: Enter property basics in PROPERTY INFO tab</t>
  </si>
  <si>
    <t>STEP 2: Complete SYSTEMS INVENTORY with current age and condition</t>
  </si>
  <si>
    <t>STEP 3: Review/adjust REPLACEMENT COSTS for your market</t>
  </si>
  <si>
    <t>STEP 4: Check REPLACEMENT SCHEDULE for timing recommendations</t>
  </si>
  <si>
    <t>STEP 5: Build detailed 5-YEAR CAPEX PLAN</t>
  </si>
  <si>
    <t>STEP 6: Extend to 10-YEAR PLAN (Gold/Platinum)</t>
  </si>
  <si>
    <t>STEP 7: Calculate RESERVE FUNDS needed</t>
  </si>
  <si>
    <t>STEP 8: Review SUMMARY for total capital needs</t>
  </si>
  <si>
    <t>TIER-SPECIFIC REQUIREMENTS:</t>
  </si>
  <si>
    <t>• BRONZE: Not required (CapSeriesX handles)</t>
  </si>
  <si>
    <t>• SILVER: Basic deferred maintenance list</t>
  </si>
  <si>
    <t>• GOLD: 5-year CapEx plan + reserve analysis ⭐⭐</t>
  </si>
  <si>
    <t>• PLATINUM: 10-year CapEx plan + professional engineering report ⭐⭐⭐</t>
  </si>
  <si>
    <t>CAPEX VS OPEX - CRITICAL DISTINCTION:</t>
  </si>
  <si>
    <t>**CapEx (Capital Expenditures):**</t>
  </si>
  <si>
    <t>• Major improvements/replacements that extend useful life</t>
  </si>
  <si>
    <t>• Capitalized on balance sheet, depreciated over time</t>
  </si>
  <si>
    <t>• Examples: Roof replacement, HVAC system, parking lot, major renovation</t>
  </si>
  <si>
    <t>• Funded from capital reserves or investor capital calls</t>
  </si>
  <si>
    <t>**OpEx (Operating Expenses):**</t>
  </si>
  <si>
    <t>• Day-to-day operating costs, repairs &amp; maintenance</t>
  </si>
  <si>
    <t>• Expensed immediately, not capitalized</t>
  </si>
  <si>
    <t>• Examples: Cleaning, minor repairs, utilities, property management</t>
  </si>
  <si>
    <t>• Funded from monthly rental income</t>
  </si>
  <si>
    <t>**Rule of Thumb: &gt;$5,000 and &gt;1 year useful life = CapEx**</t>
  </si>
  <si>
    <t>MAJOR SYSTEMS TRACKED:</t>
  </si>
  <si>
    <t>1. Roof - Typical life: 15-25 years</t>
  </si>
  <si>
    <t>2. HVAC Systems - Typical life: 10-20 years</t>
  </si>
  <si>
    <t>3. Water Heaters - Typical life: 8-12 years</t>
  </si>
  <si>
    <t>4. Plumbing - Typical life: 20-50 years</t>
  </si>
  <si>
    <t>5. Electrical - Typical life: 30-50 years</t>
  </si>
  <si>
    <t>6. Parking Lot/Driveway - Typical life: 15-25 years</t>
  </si>
  <si>
    <t>7. Windows/Doors - Typical life: 20-30 years</t>
  </si>
  <si>
    <t>8. Flooring - Typical life: 10-20 years</t>
  </si>
  <si>
    <t>9. Appliances - Typical life: 10-15 years</t>
  </si>
  <si>
    <t>10. Exterior Paint/Siding - Typical life: 10-20 years</t>
  </si>
  <si>
    <t>RESERVE FUND GUIDELINES:</t>
  </si>
  <si>
    <t>• **Minimum: 1-2% of property value annually**</t>
  </si>
  <si>
    <t>• Conservative: 2-3% for older properties (20+ years)</t>
  </si>
  <si>
    <t>• Aggressive: 1% for newer properties (&lt;10 years)</t>
  </si>
  <si>
    <t>• Industry standard: $250-500 per unit per year</t>
  </si>
  <si>
    <t>REPLACEMENT COST ESTIMATING:</t>
  </si>
  <si>
    <t>✓ Get 3 contractor quotes for major items</t>
  </si>
  <si>
    <t>✓ Use RSMeans or similar cost databases</t>
  </si>
  <si>
    <t>✓ Add 10-15% contingency for unknown issues</t>
  </si>
  <si>
    <t>✓ Factor in inflation (3-5% annually)</t>
  </si>
  <si>
    <t>✓ Consider scope - partial vs full replacement</t>
  </si>
  <si>
    <t>ESTIMATED TIME TO COMPLETE:</t>
  </si>
  <si>
    <t>• Silver Partners: 2-3 hours (basic inventory)</t>
  </si>
  <si>
    <t>• Gold Partners: 8-12 hours (5-year plan + reserves)</t>
  </si>
  <si>
    <t>• Platinum Partners: 15-25 hours (10-year plan + engineering report)</t>
  </si>
  <si>
    <t>COMMON MISTAKES TO AVOID:</t>
  </si>
  <si>
    <t>✗ Underestimating replacement costs</t>
  </si>
  <si>
    <t>✗ Not accounting for inflation</t>
  </si>
  <si>
    <t>✗ Assuming seller's deferred maintenance estimates are accurate</t>
  </si>
  <si>
    <t>✗ Forgetting about 'hidden' systems (septic, well, etc.)</t>
  </si>
  <si>
    <t>✗ Not budgeting for pre-sale improvements (Year 5/10)</t>
  </si>
  <si>
    <t>✗ Confusing CapEx with OpEx</t>
  </si>
  <si>
    <t>SUPPORT:</t>
  </si>
  <si>
    <t>Questions about CapEx planning? Email: partners@veepcapital.com</t>
  </si>
  <si>
    <t>Need contractor cost estimates? Use HomeAdvisor, Angi, or local contractors</t>
  </si>
  <si>
    <t>CAPITAL EXPENDITURE PLAN - SUMMARY</t>
  </si>
  <si>
    <t>Property Name:</t>
  </si>
  <si>
    <t>Property Value:</t>
  </si>
  <si>
    <t>Hold Period:</t>
  </si>
  <si>
    <t>CAPITAL EXPENDITURE OVERVIEW</t>
  </si>
  <si>
    <t>Total Replacement Value (All Systems):</t>
  </si>
  <si>
    <t>5-Year Planned CapEx:</t>
  </si>
  <si>
    <t>TBD - Sum from 5-Year Plan</t>
  </si>
  <si>
    <t>10-Year Planned CapEx:</t>
  </si>
  <si>
    <t>Annual Reserve Recommendation:</t>
  </si>
  <si>
    <t>Reserve as % of Property Value:</t>
  </si>
  <si>
    <t>IMMEDIATE CAPEX NEEDS (&lt; 1 YEAR)</t>
  </si>
  <si>
    <t>System</t>
  </si>
  <si>
    <t>Current Condition</t>
  </si>
  <si>
    <t>Replacement Cost</t>
  </si>
  <si>
    <t>Priority</t>
  </si>
  <si>
    <t>MAJOR UPCOMING PROJECTS (Years 1-5)</t>
  </si>
  <si>
    <t>Year</t>
  </si>
  <si>
    <t>Project Description</t>
  </si>
  <si>
    <t>Estimated Cost</t>
  </si>
  <si>
    <t>Funding Source</t>
  </si>
  <si>
    <t>RESERVE FUND ADEQUACY ASSESSMENT</t>
  </si>
  <si>
    <t>Are capital reserves adequate for identified needs?</t>
  </si>
  <si>
    <t>Supporting Analysis:</t>
  </si>
  <si>
    <t>KEY CAPEX RISKS</t>
  </si>
  <si>
    <t>1.</t>
  </si>
  <si>
    <t>2.</t>
  </si>
  <si>
    <t>3.</t>
  </si>
  <si>
    <t>RECOMMENDATIONS</t>
  </si>
  <si>
    <t>PROPERTY INFORMATION</t>
  </si>
  <si>
    <t>Property Address:</t>
  </si>
  <si>
    <t>Total Units:</t>
  </si>
  <si>
    <t>Total Building SF:</t>
  </si>
  <si>
    <t>Year Built:</t>
  </si>
  <si>
    <t>Property Type:</t>
  </si>
  <si>
    <t>Purchase Price:</t>
  </si>
  <si>
    <t>Current Property Value:</t>
  </si>
  <si>
    <t>Acquisition Date:</t>
  </si>
  <si>
    <t>Planned Hold Period (years):</t>
  </si>
  <si>
    <t>RESERVE FUND GUIDELINES</t>
  </si>
  <si>
    <t>Annual Reserve % of Value:</t>
  </si>
  <si>
    <t>1-2% typical, 2-3% for older properties</t>
  </si>
  <si>
    <t>Recommended Annual Reserve:</t>
  </si>
  <si>
    <t>Per Unit Annual Reserve:</t>
  </si>
  <si>
    <t>MAJOR SYSTEMS INVENTORY &amp; REPLACEMENT COSTS</t>
  </si>
  <si>
    <t>Document all major building systems. This drives your replacement schedule and reserve calculations.</t>
  </si>
  <si>
    <t>System/Component</t>
  </si>
  <si>
    <t>Current Age</t>
  </si>
  <si>
    <t>Useful Life</t>
  </si>
  <si>
    <t>Condition</t>
  </si>
  <si>
    <t>Years Until Replace</t>
  </si>
  <si>
    <t>Replace Year</t>
  </si>
  <si>
    <t>Roof</t>
  </si>
  <si>
    <t>HVAC System - Building 1</t>
  </si>
  <si>
    <t>HVAC System - Building 2</t>
  </si>
  <si>
    <t>Water Heaters</t>
  </si>
  <si>
    <t>Plumbing System</t>
  </si>
  <si>
    <t>Electrical System</t>
  </si>
  <si>
    <t>Parking Lot/Driveway</t>
  </si>
  <si>
    <t>Windows</t>
  </si>
  <si>
    <t>Exterior Doors</t>
  </si>
  <si>
    <t>Flooring (common areas)</t>
  </si>
  <si>
    <t>Appliances (units)</t>
  </si>
  <si>
    <t>Exterior Paint/Siding</t>
  </si>
  <si>
    <t>Landscaping/Irrigation</t>
  </si>
  <si>
    <t>Elevator (if applicable)</t>
  </si>
  <si>
    <t>Pool Equipment</t>
  </si>
  <si>
    <t>Security System</t>
  </si>
  <si>
    <t>Fire Safety System</t>
  </si>
  <si>
    <t>TOTAL REPLACEMENT COST (All Systems)</t>
  </si>
  <si>
    <t>5-YEAR CAPITAL EXPENDITURE PLAN</t>
  </si>
  <si>
    <t>Plan capital expenditures for each year. Include both scheduled replacements and planned improvements.</t>
  </si>
  <si>
    <t>Annual Inflation Rate for Costs:</t>
  </si>
  <si>
    <t>YEAR 1</t>
  </si>
  <si>
    <t>Item/Project</t>
  </si>
  <si>
    <t>Category</t>
  </si>
  <si>
    <t>Timing</t>
  </si>
  <si>
    <t>Contractor</t>
  </si>
  <si>
    <t>Notes</t>
  </si>
  <si>
    <t>YEAR 1 TOTAL:</t>
  </si>
  <si>
    <t>YEAR 2</t>
  </si>
  <si>
    <t>YEAR 2 TOTAL:</t>
  </si>
  <si>
    <t>YEAR 3</t>
  </si>
  <si>
    <t>YEAR 3 TOTAL:</t>
  </si>
  <si>
    <t>YEAR 4</t>
  </si>
  <si>
    <t>YEAR 4 TOTAL:</t>
  </si>
  <si>
    <t>YEAR 5</t>
  </si>
  <si>
    <t>YEAR 5 TOTAL:</t>
  </si>
  <si>
    <t>5-YEAR TOTAL CAPEX:</t>
  </si>
  <si>
    <t>10-YEAR CAPITAL EXPENDITURE PLAN</t>
  </si>
  <si>
    <t>Extended 10-year capital planning. Required for Gold and Platinum partners.</t>
  </si>
  <si>
    <t>Major Projects</t>
  </si>
  <si>
    <t>Inflated Cost</t>
  </si>
  <si>
    <t>Reserve Balance</t>
  </si>
  <si>
    <t>TOTAL 10-YEAR: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</si>
</sst>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2"/>
      <name val="Calibri"/>
      <family val="2"/>
    </font>
    <font>
      <i/>
      <sz val="9"/>
      <name val="Calibri"/>
      <family val="2"/>
    </font>
    <font>
      <b/>
      <sz val="14"/>
      <color rgb="FF0070C0"/>
      <name val="Calibri"/>
      <family val="2"/>
    </font>
    <font>
      <sz val="10"/>
      <name val="Calibri"/>
      <family val="2"/>
    </font>
    <font>
      <b/>
      <sz val="11"/>
      <color rgb="FF0070C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4"/>
      <color rgb="FFFFFFFF"/>
      <name val="Calibri"/>
      <family val="2"/>
    </font>
    <font>
      <b/>
      <sz val="12"/>
      <color rgb="FF0070C0"/>
      <name val="Calibri"/>
      <family val="2"/>
    </font>
    <font>
      <sz val="11"/>
      <color rgb="FF00B050"/>
      <name val="Calibri"/>
      <family val="2"/>
    </font>
    <font>
      <b/>
      <sz val="11"/>
      <color rgb="FFFFFFFF"/>
      <name val="Calibri"/>
      <family val="2"/>
    </font>
    <font>
      <b/>
      <sz val="11"/>
      <color rgb="FF00B050"/>
      <name val="Calibri"/>
      <family val="2"/>
    </font>
    <font>
      <b/>
      <sz val="12"/>
      <color rgb="FFFFFFFF"/>
      <name val="Calibri"/>
      <family val="2"/>
    </font>
    <font>
      <b/>
      <sz val="10"/>
      <color rgb="FF0070C0"/>
      <name val="Calibri"/>
      <family val="2"/>
    </font>
    <font>
      <b/>
      <sz val="10"/>
      <color rgb="FF00B050"/>
      <name val="Calibri"/>
      <family val="2"/>
    </font>
    <font>
      <b/>
      <sz val="12"/>
      <color rgb="FF00B050"/>
      <name val="Calibri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indent="1"/>
    </xf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3" fillId="0" borderId="0" xfId="0" applyFont="1"/>
    <xf numFmtId="164" fontId="11" fillId="5" borderId="1" xfId="0" applyNumberFormat="1" applyFont="1" applyFill="1" applyBorder="1"/>
    <xf numFmtId="0" fontId="8" fillId="0" borderId="0" xfId="0" applyFont="1"/>
    <xf numFmtId="0" fontId="12" fillId="2" borderId="1" xfId="0" applyFont="1" applyFill="1" applyBorder="1" applyAlignment="1">
      <alignment horizontal="center" wrapText="1"/>
    </xf>
    <xf numFmtId="0" fontId="5" fillId="0" borderId="1" xfId="0" applyFont="1" applyBorder="1"/>
    <xf numFmtId="0" fontId="11" fillId="5" borderId="1" xfId="0" applyFont="1" applyFill="1" applyBorder="1"/>
    <xf numFmtId="164" fontId="13" fillId="6" borderId="1" xfId="0" applyNumberFormat="1" applyFont="1" applyFill="1" applyBorder="1"/>
    <xf numFmtId="165" fontId="0" fillId="3" borderId="0" xfId="0" applyNumberFormat="1" applyFill="1"/>
    <xf numFmtId="0" fontId="14" fillId="2" borderId="0" xfId="0" applyFont="1" applyFill="1"/>
    <xf numFmtId="0" fontId="12" fillId="2" borderId="1" xfId="0" applyFont="1" applyFill="1" applyBorder="1" applyAlignment="1">
      <alignment horizontal="center"/>
    </xf>
    <xf numFmtId="0" fontId="15" fillId="0" borderId="0" xfId="0" applyFont="1"/>
    <xf numFmtId="164" fontId="16" fillId="6" borderId="1" xfId="0" applyNumberFormat="1" applyFont="1" applyFill="1" applyBorder="1"/>
    <xf numFmtId="164" fontId="17" fillId="6" borderId="1" xfId="0" applyNumberFormat="1" applyFont="1" applyFill="1" applyBorder="1"/>
    <xf numFmtId="0" fontId="19" fillId="0" borderId="0" xfId="0" applyFont="1"/>
    <xf numFmtId="0" fontId="20" fillId="0" borderId="0" xfId="0" applyFont="1"/>
    <xf numFmtId="164" fontId="20" fillId="0" borderId="0" xfId="0" applyNumberFormat="1" applyFont="1"/>
    <xf numFmtId="164" fontId="13" fillId="5" borderId="0" xfId="0" applyNumberFormat="1" applyFont="1" applyFill="1"/>
    <xf numFmtId="165" fontId="13" fillId="5" borderId="0" xfId="0" applyNumberFormat="1" applyFont="1" applyFill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1" fillId="4" borderId="0" xfId="0" applyFont="1" applyFill="1"/>
    <xf numFmtId="0" fontId="0" fillId="3" borderId="0" xfId="0" applyFill="1" applyAlignment="1">
      <alignment vertical="top" wrapText="1"/>
    </xf>
    <xf numFmtId="0" fontId="18" fillId="2" borderId="0" xfId="0" applyFont="1" applyFill="1" applyAlignment="1">
      <alignment horizontal="center" vertical="center"/>
    </xf>
    <xf numFmtId="0" fontId="20" fillId="0" borderId="0" xfId="0" applyFont="1"/>
    <xf numFmtId="0" fontId="10" fillId="4" borderId="0" xfId="0" applyFont="1" applyFill="1"/>
    <xf numFmtId="0" fontId="0" fillId="6" borderId="0" xfId="0" applyFill="1"/>
    <xf numFmtId="0" fontId="9" fillId="2" borderId="0" xfId="0" applyFont="1" applyFill="1" applyAlignment="1">
      <alignment horizontal="center" vertical="center"/>
    </xf>
    <xf numFmtId="0" fontId="8" fillId="0" borderId="0" xfId="0" applyFont="1"/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workbookViewId="0">
      <selection sqref="A1:H1"/>
    </sheetView>
  </sheetViews>
  <sheetFormatPr defaultRowHeight="14.5" x14ac:dyDescent="0.35"/>
  <cols>
    <col min="1" max="1" width="100" customWidth="1"/>
  </cols>
  <sheetData>
    <row r="1" spans="1:8" ht="30" customHeight="1" x14ac:dyDescent="0.35">
      <c r="A1" s="31" t="s">
        <v>0</v>
      </c>
      <c r="B1" s="29"/>
      <c r="C1" s="29"/>
      <c r="D1" s="29"/>
      <c r="E1" s="29"/>
      <c r="F1" s="29"/>
      <c r="G1" s="29"/>
      <c r="H1" s="29"/>
    </row>
    <row r="2" spans="1:8" ht="15.5" x14ac:dyDescent="0.35">
      <c r="A2" s="30" t="s">
        <v>1</v>
      </c>
      <c r="B2" s="29"/>
      <c r="C2" s="29"/>
      <c r="D2" s="29"/>
      <c r="E2" s="29"/>
      <c r="F2" s="29"/>
      <c r="G2" s="29"/>
      <c r="H2" s="29"/>
    </row>
    <row r="4" spans="1:8" x14ac:dyDescent="0.35">
      <c r="A4" s="28" t="s">
        <v>2</v>
      </c>
      <c r="B4" s="29"/>
      <c r="C4" s="29"/>
      <c r="D4" s="29"/>
      <c r="E4" s="29"/>
      <c r="F4" s="29"/>
      <c r="G4" s="29"/>
      <c r="H4" s="29"/>
    </row>
    <row r="6" spans="1:8" ht="18.5" x14ac:dyDescent="0.45">
      <c r="A6" s="1" t="s">
        <v>3</v>
      </c>
    </row>
    <row r="8" spans="1:8" x14ac:dyDescent="0.35">
      <c r="A8" s="2" t="s">
        <v>4</v>
      </c>
    </row>
    <row r="9" spans="1:8" x14ac:dyDescent="0.35">
      <c r="A9" s="2" t="s">
        <v>5</v>
      </c>
    </row>
    <row r="10" spans="1:8" x14ac:dyDescent="0.35">
      <c r="A10" s="2"/>
    </row>
    <row r="11" spans="1:8" x14ac:dyDescent="0.35">
      <c r="A11" s="2" t="s">
        <v>6</v>
      </c>
    </row>
    <row r="12" spans="1:8" x14ac:dyDescent="0.35">
      <c r="A12" s="2" t="s">
        <v>7</v>
      </c>
    </row>
    <row r="13" spans="1:8" x14ac:dyDescent="0.35">
      <c r="A13" s="2" t="s">
        <v>8</v>
      </c>
    </row>
    <row r="14" spans="1:8" x14ac:dyDescent="0.35">
      <c r="A14" s="2" t="s">
        <v>9</v>
      </c>
    </row>
    <row r="15" spans="1:8" x14ac:dyDescent="0.35">
      <c r="A15" s="2" t="s">
        <v>10</v>
      </c>
    </row>
    <row r="16" spans="1:8" x14ac:dyDescent="0.35">
      <c r="A16" s="2" t="s">
        <v>11</v>
      </c>
    </row>
    <row r="17" spans="1:1" x14ac:dyDescent="0.35">
      <c r="A17" s="2" t="s">
        <v>12</v>
      </c>
    </row>
    <row r="18" spans="1:1" x14ac:dyDescent="0.35">
      <c r="A18" s="2" t="s">
        <v>13</v>
      </c>
    </row>
    <row r="19" spans="1:1" x14ac:dyDescent="0.35">
      <c r="A19" s="2"/>
    </row>
    <row r="20" spans="1:1" x14ac:dyDescent="0.35">
      <c r="A20" s="2" t="s">
        <v>14</v>
      </c>
    </row>
    <row r="21" spans="1:1" x14ac:dyDescent="0.35">
      <c r="A21" s="2"/>
    </row>
    <row r="22" spans="1:1" x14ac:dyDescent="0.35">
      <c r="A22" s="3" t="s">
        <v>15</v>
      </c>
    </row>
    <row r="23" spans="1:1" x14ac:dyDescent="0.35">
      <c r="A23" s="3" t="s">
        <v>16</v>
      </c>
    </row>
    <row r="24" spans="1:1" x14ac:dyDescent="0.35">
      <c r="A24" s="3" t="s">
        <v>17</v>
      </c>
    </row>
    <row r="25" spans="1:1" x14ac:dyDescent="0.35">
      <c r="A25" s="3" t="s">
        <v>18</v>
      </c>
    </row>
    <row r="26" spans="1:1" x14ac:dyDescent="0.35">
      <c r="A26" s="3" t="s">
        <v>19</v>
      </c>
    </row>
    <row r="27" spans="1:1" x14ac:dyDescent="0.35">
      <c r="A27" s="3" t="s">
        <v>20</v>
      </c>
    </row>
    <row r="28" spans="1:1" x14ac:dyDescent="0.35">
      <c r="A28" s="3" t="s">
        <v>21</v>
      </c>
    </row>
    <row r="29" spans="1:1" x14ac:dyDescent="0.35">
      <c r="A29" s="3" t="s">
        <v>22</v>
      </c>
    </row>
    <row r="30" spans="1:1" x14ac:dyDescent="0.35">
      <c r="A30" s="2"/>
    </row>
    <row r="31" spans="1:1" x14ac:dyDescent="0.35">
      <c r="A31" s="3" t="s">
        <v>23</v>
      </c>
    </row>
    <row r="32" spans="1:1" x14ac:dyDescent="0.35">
      <c r="A32" s="2" t="s">
        <v>24</v>
      </c>
    </row>
    <row r="33" spans="1:1" x14ac:dyDescent="0.35">
      <c r="A33" s="2" t="s">
        <v>25</v>
      </c>
    </row>
    <row r="34" spans="1:1" x14ac:dyDescent="0.35">
      <c r="A34" s="2" t="s">
        <v>26</v>
      </c>
    </row>
    <row r="35" spans="1:1" x14ac:dyDescent="0.35">
      <c r="A35" s="2" t="s">
        <v>27</v>
      </c>
    </row>
    <row r="36" spans="1:1" x14ac:dyDescent="0.35">
      <c r="A36" s="2"/>
    </row>
    <row r="37" spans="1:1" x14ac:dyDescent="0.35">
      <c r="A37" s="3" t="s">
        <v>28</v>
      </c>
    </row>
    <row r="38" spans="1:1" x14ac:dyDescent="0.35">
      <c r="A38" s="2"/>
    </row>
    <row r="39" spans="1:1" x14ac:dyDescent="0.35">
      <c r="A39" s="4" t="s">
        <v>29</v>
      </c>
    </row>
    <row r="40" spans="1:1" x14ac:dyDescent="0.35">
      <c r="A40" s="2" t="s">
        <v>30</v>
      </c>
    </row>
    <row r="41" spans="1:1" x14ac:dyDescent="0.35">
      <c r="A41" s="2" t="s">
        <v>31</v>
      </c>
    </row>
    <row r="42" spans="1:1" x14ac:dyDescent="0.35">
      <c r="A42" s="2" t="s">
        <v>32</v>
      </c>
    </row>
    <row r="43" spans="1:1" x14ac:dyDescent="0.35">
      <c r="A43" s="2" t="s">
        <v>33</v>
      </c>
    </row>
    <row r="44" spans="1:1" x14ac:dyDescent="0.35">
      <c r="A44" s="2"/>
    </row>
    <row r="45" spans="1:1" x14ac:dyDescent="0.35">
      <c r="A45" s="4" t="s">
        <v>34</v>
      </c>
    </row>
    <row r="46" spans="1:1" x14ac:dyDescent="0.35">
      <c r="A46" s="2" t="s">
        <v>35</v>
      </c>
    </row>
    <row r="47" spans="1:1" x14ac:dyDescent="0.35">
      <c r="A47" s="2" t="s">
        <v>36</v>
      </c>
    </row>
    <row r="48" spans="1:1" x14ac:dyDescent="0.35">
      <c r="A48" s="2" t="s">
        <v>37</v>
      </c>
    </row>
    <row r="49" spans="1:1" x14ac:dyDescent="0.35">
      <c r="A49" s="2" t="s">
        <v>38</v>
      </c>
    </row>
    <row r="50" spans="1:1" x14ac:dyDescent="0.35">
      <c r="A50" s="2"/>
    </row>
    <row r="51" spans="1:1" x14ac:dyDescent="0.35">
      <c r="A51" s="4" t="s">
        <v>39</v>
      </c>
    </row>
    <row r="52" spans="1:1" x14ac:dyDescent="0.35">
      <c r="A52" s="2"/>
    </row>
    <row r="53" spans="1:1" x14ac:dyDescent="0.35">
      <c r="A53" s="3" t="s">
        <v>40</v>
      </c>
    </row>
    <row r="54" spans="1:1" x14ac:dyDescent="0.35">
      <c r="A54" s="5" t="s">
        <v>41</v>
      </c>
    </row>
    <row r="55" spans="1:1" x14ac:dyDescent="0.35">
      <c r="A55" s="5" t="s">
        <v>42</v>
      </c>
    </row>
    <row r="56" spans="1:1" x14ac:dyDescent="0.35">
      <c r="A56" s="5" t="s">
        <v>43</v>
      </c>
    </row>
    <row r="57" spans="1:1" x14ac:dyDescent="0.35">
      <c r="A57" s="5" t="s">
        <v>44</v>
      </c>
    </row>
    <row r="58" spans="1:1" x14ac:dyDescent="0.35">
      <c r="A58" s="5" t="s">
        <v>45</v>
      </c>
    </row>
    <row r="59" spans="1:1" x14ac:dyDescent="0.35">
      <c r="A59" s="5" t="s">
        <v>46</v>
      </c>
    </row>
    <row r="60" spans="1:1" x14ac:dyDescent="0.35">
      <c r="A60" s="5" t="s">
        <v>47</v>
      </c>
    </row>
    <row r="61" spans="1:1" x14ac:dyDescent="0.35">
      <c r="A61" s="5" t="s">
        <v>48</v>
      </c>
    </row>
    <row r="62" spans="1:1" x14ac:dyDescent="0.35">
      <c r="A62" s="5" t="s">
        <v>49</v>
      </c>
    </row>
    <row r="63" spans="1:1" x14ac:dyDescent="0.35">
      <c r="A63" s="5" t="s">
        <v>50</v>
      </c>
    </row>
    <row r="64" spans="1:1" x14ac:dyDescent="0.35">
      <c r="A64" s="2"/>
    </row>
    <row r="65" spans="1:1" x14ac:dyDescent="0.35">
      <c r="A65" s="3" t="s">
        <v>51</v>
      </c>
    </row>
    <row r="66" spans="1:1" x14ac:dyDescent="0.35">
      <c r="A66" s="2" t="s">
        <v>52</v>
      </c>
    </row>
    <row r="67" spans="1:1" x14ac:dyDescent="0.35">
      <c r="A67" s="2" t="s">
        <v>53</v>
      </c>
    </row>
    <row r="68" spans="1:1" x14ac:dyDescent="0.35">
      <c r="A68" s="2" t="s">
        <v>54</v>
      </c>
    </row>
    <row r="69" spans="1:1" x14ac:dyDescent="0.35">
      <c r="A69" s="2" t="s">
        <v>55</v>
      </c>
    </row>
    <row r="70" spans="1:1" x14ac:dyDescent="0.35">
      <c r="A70" s="2"/>
    </row>
    <row r="71" spans="1:1" x14ac:dyDescent="0.35">
      <c r="A71" s="3" t="s">
        <v>56</v>
      </c>
    </row>
    <row r="72" spans="1:1" x14ac:dyDescent="0.35">
      <c r="A72" s="2" t="s">
        <v>57</v>
      </c>
    </row>
    <row r="73" spans="1:1" x14ac:dyDescent="0.35">
      <c r="A73" s="2" t="s">
        <v>58</v>
      </c>
    </row>
    <row r="74" spans="1:1" x14ac:dyDescent="0.35">
      <c r="A74" s="2" t="s">
        <v>59</v>
      </c>
    </row>
    <row r="75" spans="1:1" x14ac:dyDescent="0.35">
      <c r="A75" s="2" t="s">
        <v>60</v>
      </c>
    </row>
    <row r="76" spans="1:1" x14ac:dyDescent="0.35">
      <c r="A76" s="2" t="s">
        <v>61</v>
      </c>
    </row>
    <row r="77" spans="1:1" x14ac:dyDescent="0.35">
      <c r="A77" s="2"/>
    </row>
    <row r="78" spans="1:1" x14ac:dyDescent="0.35">
      <c r="A78" s="3" t="s">
        <v>62</v>
      </c>
    </row>
    <row r="79" spans="1:1" x14ac:dyDescent="0.35">
      <c r="A79" s="2" t="s">
        <v>63</v>
      </c>
    </row>
    <row r="80" spans="1:1" x14ac:dyDescent="0.35">
      <c r="A80" s="2" t="s">
        <v>64</v>
      </c>
    </row>
    <row r="81" spans="1:1" x14ac:dyDescent="0.35">
      <c r="A81" s="2" t="s">
        <v>65</v>
      </c>
    </row>
    <row r="82" spans="1:1" x14ac:dyDescent="0.35">
      <c r="A82" s="2"/>
    </row>
    <row r="83" spans="1:1" x14ac:dyDescent="0.35">
      <c r="A83" s="3" t="s">
        <v>66</v>
      </c>
    </row>
    <row r="84" spans="1:1" x14ac:dyDescent="0.35">
      <c r="A84" s="2" t="s">
        <v>67</v>
      </c>
    </row>
    <row r="85" spans="1:1" x14ac:dyDescent="0.35">
      <c r="A85" s="2" t="s">
        <v>68</v>
      </c>
    </row>
    <row r="86" spans="1:1" x14ac:dyDescent="0.35">
      <c r="A86" s="2" t="s">
        <v>69</v>
      </c>
    </row>
    <row r="87" spans="1:1" x14ac:dyDescent="0.35">
      <c r="A87" s="2" t="s">
        <v>70</v>
      </c>
    </row>
    <row r="88" spans="1:1" x14ac:dyDescent="0.35">
      <c r="A88" s="2" t="s">
        <v>71</v>
      </c>
    </row>
    <row r="89" spans="1:1" x14ac:dyDescent="0.35">
      <c r="A89" s="2" t="s">
        <v>72</v>
      </c>
    </row>
    <row r="90" spans="1:1" x14ac:dyDescent="0.35">
      <c r="A90" s="2"/>
    </row>
    <row r="91" spans="1:1" x14ac:dyDescent="0.35">
      <c r="A91" s="3" t="s">
        <v>73</v>
      </c>
    </row>
    <row r="92" spans="1:1" x14ac:dyDescent="0.35">
      <c r="A92" s="2" t="s">
        <v>74</v>
      </c>
    </row>
    <row r="93" spans="1:1" x14ac:dyDescent="0.35">
      <c r="A93" s="2" t="s">
        <v>75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workbookViewId="0"/>
  </sheetViews>
  <sheetFormatPr defaultRowHeight="14.5" x14ac:dyDescent="0.35"/>
  <cols>
    <col min="1" max="1" width="30" customWidth="1"/>
    <col min="2" max="2" width="25" customWidth="1"/>
    <col min="3" max="3" width="20" customWidth="1"/>
    <col min="4" max="4" width="25" customWidth="1"/>
    <col min="5" max="6" width="15" customWidth="1"/>
  </cols>
  <sheetData>
    <row r="1" spans="1:6" ht="30" customHeight="1" x14ac:dyDescent="0.35">
      <c r="A1" s="34" t="s">
        <v>76</v>
      </c>
      <c r="B1" s="29"/>
      <c r="C1" s="29"/>
      <c r="D1" s="29"/>
      <c r="E1" s="29"/>
      <c r="F1" s="29"/>
    </row>
    <row r="3" spans="1:6" x14ac:dyDescent="0.35">
      <c r="A3" s="22" t="s">
        <v>77</v>
      </c>
      <c r="B3" s="35">
        <f>Property_Info!B4</f>
        <v>0</v>
      </c>
      <c r="C3" s="29"/>
      <c r="D3" s="29"/>
      <c r="E3" s="29"/>
      <c r="F3" s="29"/>
    </row>
    <row r="4" spans="1:6" x14ac:dyDescent="0.35">
      <c r="A4" s="22" t="s">
        <v>78</v>
      </c>
      <c r="B4" s="24">
        <f>Property_Info!B10</f>
        <v>0</v>
      </c>
      <c r="D4" s="22" t="s">
        <v>79</v>
      </c>
      <c r="E4" s="23" t="str">
        <f>Property_Info!B12&amp;" years"</f>
        <v xml:space="preserve"> years</v>
      </c>
    </row>
    <row r="6" spans="1:6" ht="15.5" x14ac:dyDescent="0.35">
      <c r="A6" s="36" t="s">
        <v>80</v>
      </c>
      <c r="B6" s="29"/>
      <c r="C6" s="29"/>
      <c r="D6" s="29"/>
      <c r="E6" s="29"/>
      <c r="F6" s="29"/>
    </row>
    <row r="7" spans="1:6" x14ac:dyDescent="0.35">
      <c r="A7" s="4" t="s">
        <v>81</v>
      </c>
      <c r="B7" s="25">
        <f>Systems_Inventory!E22</f>
        <v>0</v>
      </c>
    </row>
    <row r="8" spans="1:6" x14ac:dyDescent="0.35">
      <c r="A8" s="4" t="s">
        <v>82</v>
      </c>
      <c r="B8" s="11" t="s">
        <v>83</v>
      </c>
    </row>
    <row r="9" spans="1:6" x14ac:dyDescent="0.35">
      <c r="A9" s="4" t="s">
        <v>84</v>
      </c>
      <c r="B9" s="25">
        <f>'10_Year_CapEx_Plan'!C15</f>
        <v>0</v>
      </c>
    </row>
    <row r="11" spans="1:6" x14ac:dyDescent="0.35">
      <c r="A11" s="4" t="s">
        <v>85</v>
      </c>
      <c r="B11" s="25">
        <f>Property_Info!B19</f>
        <v>0</v>
      </c>
    </row>
    <row r="12" spans="1:6" x14ac:dyDescent="0.35">
      <c r="A12" s="4" t="s">
        <v>86</v>
      </c>
      <c r="B12" s="26">
        <f>Property_Info!B18</f>
        <v>0</v>
      </c>
    </row>
    <row r="14" spans="1:6" ht="15.5" x14ac:dyDescent="0.35">
      <c r="A14" s="32" t="s">
        <v>87</v>
      </c>
      <c r="B14" s="29"/>
      <c r="C14" s="29"/>
      <c r="D14" s="29"/>
      <c r="E14" s="29"/>
      <c r="F14" s="29"/>
    </row>
    <row r="15" spans="1:6" x14ac:dyDescent="0.35">
      <c r="A15" s="18" t="s">
        <v>88</v>
      </c>
      <c r="B15" s="18" t="s">
        <v>89</v>
      </c>
      <c r="C15" s="18" t="s">
        <v>90</v>
      </c>
      <c r="D15" s="18" t="s">
        <v>91</v>
      </c>
    </row>
    <row r="16" spans="1:6" x14ac:dyDescent="0.35">
      <c r="A16" s="6"/>
      <c r="B16" s="6"/>
      <c r="C16" s="7"/>
      <c r="D16" s="6"/>
    </row>
    <row r="17" spans="1:6" x14ac:dyDescent="0.35">
      <c r="A17" s="6"/>
      <c r="B17" s="6"/>
      <c r="C17" s="7"/>
      <c r="D17" s="6"/>
    </row>
    <row r="18" spans="1:6" x14ac:dyDescent="0.35">
      <c r="A18" s="6"/>
      <c r="B18" s="6"/>
      <c r="C18" s="7"/>
      <c r="D18" s="6"/>
    </row>
    <row r="19" spans="1:6" x14ac:dyDescent="0.35">
      <c r="A19" s="6"/>
      <c r="B19" s="6"/>
      <c r="C19" s="7"/>
      <c r="D19" s="6"/>
    </row>
    <row r="20" spans="1:6" x14ac:dyDescent="0.35">
      <c r="A20" s="6"/>
      <c r="B20" s="6"/>
      <c r="C20" s="7"/>
      <c r="D20" s="6"/>
    </row>
    <row r="22" spans="1:6" ht="15.5" x14ac:dyDescent="0.35">
      <c r="A22" s="36" t="s">
        <v>92</v>
      </c>
      <c r="B22" s="29"/>
      <c r="C22" s="29"/>
      <c r="D22" s="29"/>
      <c r="E22" s="29"/>
      <c r="F22" s="29"/>
    </row>
    <row r="23" spans="1:6" x14ac:dyDescent="0.35">
      <c r="A23" s="18" t="s">
        <v>93</v>
      </c>
      <c r="B23" s="18" t="s">
        <v>94</v>
      </c>
      <c r="C23" s="18" t="s">
        <v>95</v>
      </c>
      <c r="D23" s="18" t="s">
        <v>96</v>
      </c>
    </row>
    <row r="24" spans="1:6" x14ac:dyDescent="0.35">
      <c r="A24" s="6"/>
      <c r="B24" s="6"/>
      <c r="C24" s="7"/>
      <c r="D24" s="6"/>
    </row>
    <row r="25" spans="1:6" x14ac:dyDescent="0.35">
      <c r="A25" s="6"/>
      <c r="B25" s="6"/>
      <c r="C25" s="7"/>
      <c r="D25" s="6"/>
    </row>
    <row r="26" spans="1:6" x14ac:dyDescent="0.35">
      <c r="A26" s="6"/>
      <c r="B26" s="6"/>
      <c r="C26" s="7"/>
      <c r="D26" s="6"/>
    </row>
    <row r="27" spans="1:6" x14ac:dyDescent="0.35">
      <c r="A27" s="6"/>
      <c r="B27" s="6"/>
      <c r="C27" s="7"/>
      <c r="D27" s="6"/>
    </row>
    <row r="28" spans="1:6" x14ac:dyDescent="0.35">
      <c r="A28" s="6"/>
      <c r="B28" s="6"/>
      <c r="C28" s="7"/>
      <c r="D28" s="6"/>
    </row>
    <row r="29" spans="1:6" x14ac:dyDescent="0.35">
      <c r="A29" s="6"/>
      <c r="B29" s="6"/>
      <c r="C29" s="7"/>
      <c r="D29" s="6"/>
    </row>
    <row r="30" spans="1:6" x14ac:dyDescent="0.35">
      <c r="A30" s="6"/>
      <c r="B30" s="6"/>
      <c r="C30" s="7"/>
      <c r="D30" s="6"/>
    </row>
    <row r="31" spans="1:6" x14ac:dyDescent="0.35">
      <c r="A31" s="6"/>
      <c r="B31" s="6"/>
      <c r="C31" s="7"/>
      <c r="D31" s="6"/>
    </row>
    <row r="34" spans="1:6" ht="15.5" x14ac:dyDescent="0.35">
      <c r="A34" s="36" t="s">
        <v>97</v>
      </c>
      <c r="B34" s="29"/>
      <c r="C34" s="29"/>
      <c r="D34" s="29"/>
      <c r="E34" s="29"/>
      <c r="F34" s="29"/>
    </row>
    <row r="35" spans="1:6" x14ac:dyDescent="0.35">
      <c r="A35" s="4" t="s">
        <v>98</v>
      </c>
      <c r="B35" s="37"/>
      <c r="C35" s="29"/>
      <c r="D35" s="29"/>
      <c r="E35" s="29"/>
      <c r="F35" s="29"/>
    </row>
    <row r="36" spans="1:6" ht="60" customHeight="1" x14ac:dyDescent="0.35">
      <c r="A36" s="4" t="s">
        <v>99</v>
      </c>
      <c r="B36" s="33"/>
      <c r="C36" s="29"/>
      <c r="D36" s="29"/>
      <c r="E36" s="29"/>
      <c r="F36" s="29"/>
    </row>
    <row r="38" spans="1:6" ht="15.5" x14ac:dyDescent="0.35">
      <c r="A38" s="32" t="s">
        <v>100</v>
      </c>
      <c r="B38" s="29"/>
      <c r="C38" s="29"/>
      <c r="D38" s="29"/>
      <c r="E38" s="29"/>
      <c r="F38" s="29"/>
    </row>
    <row r="39" spans="1:6" ht="25" customHeight="1" x14ac:dyDescent="0.35">
      <c r="A39" s="4" t="s">
        <v>101</v>
      </c>
      <c r="B39" s="33"/>
      <c r="C39" s="29"/>
      <c r="D39" s="29"/>
      <c r="E39" s="29"/>
      <c r="F39" s="29"/>
    </row>
    <row r="40" spans="1:6" ht="25" customHeight="1" x14ac:dyDescent="0.35">
      <c r="A40" s="4" t="s">
        <v>102</v>
      </c>
      <c r="B40" s="33"/>
      <c r="C40" s="29"/>
      <c r="D40" s="29"/>
      <c r="E40" s="29"/>
      <c r="F40" s="29"/>
    </row>
    <row r="41" spans="1:6" ht="25" customHeight="1" x14ac:dyDescent="0.35">
      <c r="A41" s="4" t="s">
        <v>103</v>
      </c>
      <c r="B41" s="33"/>
      <c r="C41" s="29"/>
      <c r="D41" s="29"/>
      <c r="E41" s="29"/>
      <c r="F41" s="29"/>
    </row>
    <row r="43" spans="1:6" ht="15.5" x14ac:dyDescent="0.35">
      <c r="A43" s="36" t="s">
        <v>104</v>
      </c>
      <c r="B43" s="29"/>
      <c r="C43" s="29"/>
      <c r="D43" s="29"/>
      <c r="E43" s="29"/>
      <c r="F43" s="29"/>
    </row>
    <row r="44" spans="1:6" ht="80" customHeight="1" x14ac:dyDescent="0.35">
      <c r="A44" s="33"/>
      <c r="B44" s="29"/>
      <c r="C44" s="29"/>
      <c r="D44" s="29"/>
      <c r="E44" s="29"/>
      <c r="F44" s="29"/>
    </row>
    <row r="45" spans="1:6" x14ac:dyDescent="0.35">
      <c r="A45" s="29"/>
      <c r="B45" s="29"/>
      <c r="C45" s="29"/>
      <c r="D45" s="29"/>
      <c r="E45" s="29"/>
      <c r="F45" s="29"/>
    </row>
    <row r="46" spans="1:6" x14ac:dyDescent="0.35">
      <c r="A46" s="29"/>
      <c r="B46" s="29"/>
      <c r="C46" s="29"/>
      <c r="D46" s="29"/>
      <c r="E46" s="29"/>
      <c r="F46" s="29"/>
    </row>
    <row r="47" spans="1:6" x14ac:dyDescent="0.35">
      <c r="A47" s="29"/>
      <c r="B47" s="29"/>
      <c r="C47" s="29"/>
      <c r="D47" s="29"/>
      <c r="E47" s="29"/>
      <c r="F47" s="29"/>
    </row>
  </sheetData>
  <mergeCells count="14">
    <mergeCell ref="A44:F47"/>
    <mergeCell ref="B36:F36"/>
    <mergeCell ref="A43:F43"/>
    <mergeCell ref="B40:F40"/>
    <mergeCell ref="B41:F41"/>
    <mergeCell ref="A38:F38"/>
    <mergeCell ref="B39:F39"/>
    <mergeCell ref="A14:F14"/>
    <mergeCell ref="A1:F1"/>
    <mergeCell ref="B3:F3"/>
    <mergeCell ref="A6:F6"/>
    <mergeCell ref="A22:F22"/>
    <mergeCell ref="A34:F34"/>
    <mergeCell ref="B35:F35"/>
  </mergeCells>
  <dataValidations count="5">
    <dataValidation type="list" allowBlank="1" sqref="B16:B20" xr:uid="{00000000-0002-0000-0100-000000000000}">
      <formula1>"Replace Now,Poor,Fair,Good,Excellent"</formula1>
    </dataValidation>
    <dataValidation type="list" allowBlank="1" sqref="D16:D20" xr:uid="{00000000-0002-0000-0100-000001000000}">
      <formula1>"Critical,High,Medium,Low"</formula1>
    </dataValidation>
    <dataValidation type="list" allowBlank="1" sqref="A24:A31" xr:uid="{00000000-0002-0000-0100-00000A000000}">
      <formula1>"1,2,3,4,5"</formula1>
    </dataValidation>
    <dataValidation type="list" allowBlank="1" sqref="D24:D31" xr:uid="{00000000-0002-0000-0100-00000B000000}">
      <formula1>"Capital Reserves,Investor Capital Call,Refinance Proceeds,Operating Cash Flow"</formula1>
    </dataValidation>
    <dataValidation type="list" sqref="B35" xr:uid="{00000000-0002-0000-0100-00001A000000}">
      <formula1>"Yes - Fully Funded,Adequate - Minor Gap,Marginal - Needs Planning,Inadequate - Capital Call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40" customWidth="1"/>
  </cols>
  <sheetData>
    <row r="1" spans="1:4" ht="25" customHeight="1" x14ac:dyDescent="0.35">
      <c r="A1" s="38" t="s">
        <v>105</v>
      </c>
      <c r="B1" s="29"/>
      <c r="C1" s="29"/>
      <c r="D1" s="29"/>
    </row>
    <row r="3" spans="1:4" x14ac:dyDescent="0.35">
      <c r="A3" s="4" t="s">
        <v>77</v>
      </c>
      <c r="B3" s="6"/>
    </row>
    <row r="4" spans="1:4" x14ac:dyDescent="0.35">
      <c r="A4" s="4" t="s">
        <v>106</v>
      </c>
      <c r="B4" s="6"/>
    </row>
    <row r="6" spans="1:4" x14ac:dyDescent="0.35">
      <c r="A6" s="4" t="s">
        <v>107</v>
      </c>
      <c r="B6" s="6"/>
    </row>
    <row r="7" spans="1:4" x14ac:dyDescent="0.35">
      <c r="A7" s="4" t="s">
        <v>108</v>
      </c>
      <c r="B7" s="6"/>
    </row>
    <row r="8" spans="1:4" x14ac:dyDescent="0.35">
      <c r="A8" s="4" t="s">
        <v>109</v>
      </c>
      <c r="B8" s="6"/>
    </row>
    <row r="9" spans="1:4" x14ac:dyDescent="0.35">
      <c r="A9" s="4" t="s">
        <v>110</v>
      </c>
      <c r="B9" s="6"/>
    </row>
    <row r="11" spans="1:4" x14ac:dyDescent="0.35">
      <c r="A11" s="4" t="s">
        <v>111</v>
      </c>
      <c r="B11" s="7"/>
    </row>
    <row r="12" spans="1:4" x14ac:dyDescent="0.35">
      <c r="A12" s="4" t="s">
        <v>112</v>
      </c>
      <c r="B12" s="7"/>
    </row>
    <row r="13" spans="1:4" x14ac:dyDescent="0.35">
      <c r="A13" s="4" t="s">
        <v>113</v>
      </c>
      <c r="B13" s="6"/>
    </row>
    <row r="14" spans="1:4" x14ac:dyDescent="0.35">
      <c r="A14" s="4" t="s">
        <v>114</v>
      </c>
      <c r="B14" s="6"/>
    </row>
    <row r="16" spans="1:4" ht="15.5" x14ac:dyDescent="0.35">
      <c r="A16" s="36" t="s">
        <v>115</v>
      </c>
      <c r="B16" s="29"/>
      <c r="C16" s="29"/>
      <c r="D16" s="29"/>
    </row>
    <row r="17" spans="1:3" x14ac:dyDescent="0.35">
      <c r="A17" s="4" t="s">
        <v>116</v>
      </c>
      <c r="B17" s="8"/>
      <c r="C17" s="9" t="s">
        <v>117</v>
      </c>
    </row>
    <row r="18" spans="1:3" x14ac:dyDescent="0.35">
      <c r="A18" s="4" t="s">
        <v>118</v>
      </c>
      <c r="B18" s="10">
        <f>B10*0.02</f>
        <v>0</v>
      </c>
    </row>
    <row r="19" spans="1:3" x14ac:dyDescent="0.35">
      <c r="A19" s="4" t="s">
        <v>119</v>
      </c>
      <c r="B19" s="10"/>
    </row>
  </sheetData>
  <mergeCells count="2">
    <mergeCell ref="A1:D1"/>
    <mergeCell ref="A16:D16"/>
  </mergeCells>
  <dataValidations count="1">
    <dataValidation type="list" sqref="B9" xr:uid="{00000000-0002-0000-0200-000000000000}">
      <formula1>"Single Family,Duplex,Triplex,Fourplex,Multifamily 5-49,Multifamily 50+,Mixed Use"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/>
  </sheetViews>
  <sheetFormatPr defaultRowHeight="14.5" x14ac:dyDescent="0.35"/>
  <cols>
    <col min="1" max="1" width="30" customWidth="1"/>
    <col min="2" max="3" width="12" customWidth="1"/>
    <col min="4" max="4" width="15" customWidth="1"/>
    <col min="5" max="5" width="18" customWidth="1"/>
    <col min="6" max="7" width="15" customWidth="1"/>
    <col min="8" max="8" width="12" customWidth="1"/>
  </cols>
  <sheetData>
    <row r="1" spans="1:8" ht="25" customHeight="1" x14ac:dyDescent="0.35">
      <c r="A1" s="38" t="s">
        <v>120</v>
      </c>
      <c r="B1" s="29"/>
      <c r="C1" s="29"/>
      <c r="D1" s="29"/>
      <c r="E1" s="29"/>
      <c r="F1" s="29"/>
      <c r="G1" s="29"/>
      <c r="H1" s="29"/>
    </row>
    <row r="2" spans="1:8" x14ac:dyDescent="0.35">
      <c r="A2" s="39" t="s">
        <v>121</v>
      </c>
      <c r="B2" s="29"/>
      <c r="C2" s="29"/>
      <c r="D2" s="29"/>
      <c r="E2" s="29"/>
      <c r="F2" s="29"/>
      <c r="G2" s="29"/>
      <c r="H2" s="29"/>
    </row>
    <row r="4" spans="1:8" ht="29" x14ac:dyDescent="0.35">
      <c r="A4" s="12" t="s">
        <v>122</v>
      </c>
      <c r="B4" s="12" t="s">
        <v>123</v>
      </c>
      <c r="C4" s="12" t="s">
        <v>124</v>
      </c>
      <c r="D4" s="12" t="s">
        <v>125</v>
      </c>
      <c r="E4" s="12" t="s">
        <v>90</v>
      </c>
      <c r="F4" s="12" t="s">
        <v>126</v>
      </c>
      <c r="G4" s="12" t="s">
        <v>127</v>
      </c>
      <c r="H4" s="12" t="s">
        <v>91</v>
      </c>
    </row>
    <row r="5" spans="1:8" x14ac:dyDescent="0.35">
      <c r="A5" s="13" t="s">
        <v>128</v>
      </c>
      <c r="B5" s="6"/>
      <c r="C5" s="6">
        <v>20</v>
      </c>
      <c r="D5" s="6"/>
      <c r="E5" s="7"/>
      <c r="F5" s="14">
        <f t="shared" ref="F5:F21" si="0">MAX(0,C5-B5)</f>
        <v>20</v>
      </c>
      <c r="G5" s="14">
        <f>YEAR(Property_Info!$B$11)+F5</f>
        <v>1920</v>
      </c>
      <c r="H5" s="6"/>
    </row>
    <row r="6" spans="1:8" x14ac:dyDescent="0.35">
      <c r="A6" s="13" t="s">
        <v>129</v>
      </c>
      <c r="B6" s="6"/>
      <c r="C6" s="6">
        <v>15</v>
      </c>
      <c r="D6" s="6"/>
      <c r="E6" s="7"/>
      <c r="F6" s="14">
        <f t="shared" si="0"/>
        <v>15</v>
      </c>
      <c r="G6" s="14">
        <f>YEAR(Property_Info!$B$11)+F6</f>
        <v>1915</v>
      </c>
      <c r="H6" s="6"/>
    </row>
    <row r="7" spans="1:8" x14ac:dyDescent="0.35">
      <c r="A7" s="13" t="s">
        <v>130</v>
      </c>
      <c r="B7" s="6"/>
      <c r="C7" s="6">
        <v>15</v>
      </c>
      <c r="D7" s="6"/>
      <c r="E7" s="7"/>
      <c r="F7" s="14">
        <f t="shared" si="0"/>
        <v>15</v>
      </c>
      <c r="G7" s="14">
        <f>YEAR(Property_Info!$B$11)+F7</f>
        <v>1915</v>
      </c>
      <c r="H7" s="6"/>
    </row>
    <row r="8" spans="1:8" x14ac:dyDescent="0.35">
      <c r="A8" s="13" t="s">
        <v>131</v>
      </c>
      <c r="B8" s="6"/>
      <c r="C8" s="6">
        <v>10</v>
      </c>
      <c r="D8" s="6"/>
      <c r="E8" s="7"/>
      <c r="F8" s="14">
        <f t="shared" si="0"/>
        <v>10</v>
      </c>
      <c r="G8" s="14">
        <f>YEAR(Property_Info!$B$11)+F8</f>
        <v>1910</v>
      </c>
      <c r="H8" s="6"/>
    </row>
    <row r="9" spans="1:8" x14ac:dyDescent="0.35">
      <c r="A9" s="13" t="s">
        <v>132</v>
      </c>
      <c r="B9" s="6"/>
      <c r="C9" s="6">
        <v>40</v>
      </c>
      <c r="D9" s="6"/>
      <c r="E9" s="7"/>
      <c r="F9" s="14">
        <f t="shared" si="0"/>
        <v>40</v>
      </c>
      <c r="G9" s="14">
        <f>YEAR(Property_Info!$B$11)+F9</f>
        <v>1940</v>
      </c>
      <c r="H9" s="6"/>
    </row>
    <row r="10" spans="1:8" x14ac:dyDescent="0.35">
      <c r="A10" s="13" t="s">
        <v>133</v>
      </c>
      <c r="B10" s="6"/>
      <c r="C10" s="6">
        <v>40</v>
      </c>
      <c r="D10" s="6"/>
      <c r="E10" s="7"/>
      <c r="F10" s="14">
        <f t="shared" si="0"/>
        <v>40</v>
      </c>
      <c r="G10" s="14">
        <f>YEAR(Property_Info!$B$11)+F10</f>
        <v>1940</v>
      </c>
      <c r="H10" s="6"/>
    </row>
    <row r="11" spans="1:8" x14ac:dyDescent="0.35">
      <c r="A11" s="13" t="s">
        <v>134</v>
      </c>
      <c r="B11" s="6"/>
      <c r="C11" s="6">
        <v>20</v>
      </c>
      <c r="D11" s="6"/>
      <c r="E11" s="7"/>
      <c r="F11" s="14">
        <f t="shared" si="0"/>
        <v>20</v>
      </c>
      <c r="G11" s="14">
        <f>YEAR(Property_Info!$B$11)+F11</f>
        <v>1920</v>
      </c>
      <c r="H11" s="6"/>
    </row>
    <row r="12" spans="1:8" x14ac:dyDescent="0.35">
      <c r="A12" s="13" t="s">
        <v>135</v>
      </c>
      <c r="B12" s="6"/>
      <c r="C12" s="6">
        <v>25</v>
      </c>
      <c r="D12" s="6"/>
      <c r="E12" s="7"/>
      <c r="F12" s="14">
        <f t="shared" si="0"/>
        <v>25</v>
      </c>
      <c r="G12" s="14">
        <f>YEAR(Property_Info!$B$11)+F12</f>
        <v>1925</v>
      </c>
      <c r="H12" s="6"/>
    </row>
    <row r="13" spans="1:8" x14ac:dyDescent="0.35">
      <c r="A13" s="13" t="s">
        <v>136</v>
      </c>
      <c r="B13" s="6"/>
      <c r="C13" s="6">
        <v>25</v>
      </c>
      <c r="D13" s="6"/>
      <c r="E13" s="7"/>
      <c r="F13" s="14">
        <f t="shared" si="0"/>
        <v>25</v>
      </c>
      <c r="G13" s="14">
        <f>YEAR(Property_Info!$B$11)+F13</f>
        <v>1925</v>
      </c>
      <c r="H13" s="6"/>
    </row>
    <row r="14" spans="1:8" x14ac:dyDescent="0.35">
      <c r="A14" s="13" t="s">
        <v>137</v>
      </c>
      <c r="B14" s="6"/>
      <c r="C14" s="6">
        <v>15</v>
      </c>
      <c r="D14" s="6"/>
      <c r="E14" s="7"/>
      <c r="F14" s="14">
        <f t="shared" si="0"/>
        <v>15</v>
      </c>
      <c r="G14" s="14">
        <f>YEAR(Property_Info!$B$11)+F14</f>
        <v>1915</v>
      </c>
      <c r="H14" s="6"/>
    </row>
    <row r="15" spans="1:8" x14ac:dyDescent="0.35">
      <c r="A15" s="13" t="s">
        <v>138</v>
      </c>
      <c r="B15" s="6"/>
      <c r="C15" s="6">
        <v>12</v>
      </c>
      <c r="D15" s="6"/>
      <c r="E15" s="7"/>
      <c r="F15" s="14">
        <f t="shared" si="0"/>
        <v>12</v>
      </c>
      <c r="G15" s="14">
        <f>YEAR(Property_Info!$B$11)+F15</f>
        <v>1912</v>
      </c>
      <c r="H15" s="6"/>
    </row>
    <row r="16" spans="1:8" x14ac:dyDescent="0.35">
      <c r="A16" s="13" t="s">
        <v>139</v>
      </c>
      <c r="B16" s="6"/>
      <c r="C16" s="6">
        <v>15</v>
      </c>
      <c r="D16" s="6"/>
      <c r="E16" s="7"/>
      <c r="F16" s="14">
        <f t="shared" si="0"/>
        <v>15</v>
      </c>
      <c r="G16" s="14">
        <f>YEAR(Property_Info!$B$11)+F16</f>
        <v>1915</v>
      </c>
      <c r="H16" s="6"/>
    </row>
    <row r="17" spans="1:8" x14ac:dyDescent="0.35">
      <c r="A17" s="13" t="s">
        <v>140</v>
      </c>
      <c r="B17" s="6"/>
      <c r="C17" s="6">
        <v>10</v>
      </c>
      <c r="D17" s="6"/>
      <c r="E17" s="7"/>
      <c r="F17" s="14">
        <f t="shared" si="0"/>
        <v>10</v>
      </c>
      <c r="G17" s="14">
        <f>YEAR(Property_Info!$B$11)+F17</f>
        <v>1910</v>
      </c>
      <c r="H17" s="6"/>
    </row>
    <row r="18" spans="1:8" x14ac:dyDescent="0.35">
      <c r="A18" s="13" t="s">
        <v>141</v>
      </c>
      <c r="B18" s="6"/>
      <c r="C18" s="6">
        <v>25</v>
      </c>
      <c r="D18" s="6"/>
      <c r="E18" s="7"/>
      <c r="F18" s="14">
        <f t="shared" si="0"/>
        <v>25</v>
      </c>
      <c r="G18" s="14">
        <f>YEAR(Property_Info!$B$11)+F18</f>
        <v>1925</v>
      </c>
      <c r="H18" s="6"/>
    </row>
    <row r="19" spans="1:8" x14ac:dyDescent="0.35">
      <c r="A19" s="13" t="s">
        <v>142</v>
      </c>
      <c r="B19" s="6"/>
      <c r="C19" s="6">
        <v>12</v>
      </c>
      <c r="D19" s="6"/>
      <c r="E19" s="7"/>
      <c r="F19" s="14">
        <f t="shared" si="0"/>
        <v>12</v>
      </c>
      <c r="G19" s="14">
        <f>YEAR(Property_Info!$B$11)+F19</f>
        <v>1912</v>
      </c>
      <c r="H19" s="6"/>
    </row>
    <row r="20" spans="1:8" x14ac:dyDescent="0.35">
      <c r="A20" s="13" t="s">
        <v>143</v>
      </c>
      <c r="B20" s="6"/>
      <c r="C20" s="6">
        <v>10</v>
      </c>
      <c r="D20" s="6"/>
      <c r="E20" s="7"/>
      <c r="F20" s="14">
        <f t="shared" si="0"/>
        <v>10</v>
      </c>
      <c r="G20" s="14">
        <f>YEAR(Property_Info!$B$11)+F20</f>
        <v>1910</v>
      </c>
      <c r="H20" s="6"/>
    </row>
    <row r="21" spans="1:8" x14ac:dyDescent="0.35">
      <c r="A21" s="13" t="s">
        <v>144</v>
      </c>
      <c r="B21" s="6"/>
      <c r="C21" s="6">
        <v>20</v>
      </c>
      <c r="D21" s="6"/>
      <c r="E21" s="7"/>
      <c r="F21" s="14">
        <f t="shared" si="0"/>
        <v>20</v>
      </c>
      <c r="G21" s="14">
        <f>YEAR(Property_Info!$B$11)+F21</f>
        <v>1920</v>
      </c>
      <c r="H21" s="6"/>
    </row>
    <row r="22" spans="1:8" x14ac:dyDescent="0.35">
      <c r="A22" s="3" t="s">
        <v>145</v>
      </c>
      <c r="E22" s="15">
        <f>SUM(E5:E21)</f>
        <v>0</v>
      </c>
    </row>
  </sheetData>
  <mergeCells count="2">
    <mergeCell ref="A2:H2"/>
    <mergeCell ref="A1:H1"/>
  </mergeCells>
  <dataValidations count="2">
    <dataValidation type="list" sqref="D5:D21" xr:uid="{00000000-0002-0000-0300-000000000000}">
      <formula1>"Excellent,Good,Fair,Poor,Replace Now"</formula1>
    </dataValidation>
    <dataValidation type="list" sqref="H5:H21" xr:uid="{00000000-0002-0000-0300-000001000000}">
      <formula1>"Critical,High,Medium,Low,Deferred"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tabSelected="1" workbookViewId="0">
      <selection sqref="A1:G1"/>
    </sheetView>
  </sheetViews>
  <sheetFormatPr defaultRowHeight="14.5" x14ac:dyDescent="0.35"/>
  <cols>
    <col min="1" max="1" width="30" customWidth="1"/>
    <col min="2" max="3" width="18" customWidth="1"/>
    <col min="4" max="4" width="12" customWidth="1"/>
    <col min="5" max="5" width="20" customWidth="1"/>
    <col min="6" max="6" width="12" customWidth="1"/>
    <col min="7" max="7" width="30" customWidth="1"/>
  </cols>
  <sheetData>
    <row r="1" spans="1:7" ht="25" customHeight="1" x14ac:dyDescent="0.35">
      <c r="A1" s="38" t="s">
        <v>146</v>
      </c>
      <c r="B1" s="29"/>
      <c r="C1" s="29"/>
      <c r="D1" s="29"/>
      <c r="E1" s="29"/>
      <c r="F1" s="29"/>
      <c r="G1" s="29"/>
    </row>
    <row r="2" spans="1:7" x14ac:dyDescent="0.35">
      <c r="A2" s="39" t="s">
        <v>147</v>
      </c>
      <c r="B2" s="29"/>
      <c r="C2" s="29"/>
      <c r="D2" s="29"/>
      <c r="E2" s="29"/>
      <c r="F2" s="29"/>
      <c r="G2" s="29"/>
    </row>
    <row r="4" spans="1:7" x14ac:dyDescent="0.35">
      <c r="A4" s="4" t="s">
        <v>148</v>
      </c>
      <c r="B4" s="16">
        <v>0.03</v>
      </c>
    </row>
    <row r="6" spans="1:7" ht="15.5" x14ac:dyDescent="0.35">
      <c r="A6" s="40" t="s">
        <v>149</v>
      </c>
      <c r="B6" s="29"/>
      <c r="C6" s="29"/>
      <c r="D6" s="29"/>
      <c r="E6" s="29"/>
      <c r="F6" s="29"/>
      <c r="G6" s="29"/>
    </row>
    <row r="7" spans="1:7" x14ac:dyDescent="0.35">
      <c r="A7" s="18" t="s">
        <v>150</v>
      </c>
      <c r="B7" s="18" t="s">
        <v>151</v>
      </c>
      <c r="C7" s="18" t="s">
        <v>95</v>
      </c>
      <c r="D7" s="18" t="s">
        <v>152</v>
      </c>
      <c r="E7" s="18" t="s">
        <v>153</v>
      </c>
      <c r="F7" s="18" t="s">
        <v>91</v>
      </c>
      <c r="G7" s="18" t="s">
        <v>154</v>
      </c>
    </row>
    <row r="8" spans="1:7" x14ac:dyDescent="0.35">
      <c r="A8" s="6"/>
      <c r="B8" s="6"/>
      <c r="C8" s="7"/>
      <c r="D8" s="6"/>
      <c r="E8" s="6"/>
      <c r="F8" s="6"/>
      <c r="G8" s="6"/>
    </row>
    <row r="9" spans="1:7" x14ac:dyDescent="0.35">
      <c r="A9" s="6"/>
      <c r="B9" s="6"/>
      <c r="C9" s="7"/>
      <c r="D9" s="6"/>
      <c r="E9" s="6"/>
      <c r="F9" s="6"/>
      <c r="G9" s="6"/>
    </row>
    <row r="10" spans="1:7" x14ac:dyDescent="0.35">
      <c r="A10" s="6"/>
      <c r="B10" s="6"/>
      <c r="C10" s="7"/>
      <c r="D10" s="6"/>
      <c r="E10" s="6"/>
      <c r="F10" s="6"/>
      <c r="G10" s="6"/>
    </row>
    <row r="11" spans="1:7" x14ac:dyDescent="0.35">
      <c r="A11" s="6"/>
      <c r="B11" s="6"/>
      <c r="C11" s="7"/>
      <c r="D11" s="6"/>
      <c r="E11" s="6"/>
      <c r="F11" s="6"/>
      <c r="G11" s="6"/>
    </row>
    <row r="12" spans="1:7" x14ac:dyDescent="0.35">
      <c r="A12" s="6"/>
      <c r="B12" s="6"/>
      <c r="C12" s="7"/>
      <c r="D12" s="6"/>
      <c r="E12" s="6"/>
      <c r="F12" s="6"/>
      <c r="G12" s="6"/>
    </row>
    <row r="13" spans="1:7" x14ac:dyDescent="0.35">
      <c r="A13" s="6"/>
      <c r="B13" s="6"/>
      <c r="C13" s="7"/>
      <c r="D13" s="6"/>
      <c r="E13" s="6"/>
      <c r="F13" s="6"/>
      <c r="G13" s="6"/>
    </row>
    <row r="14" spans="1:7" x14ac:dyDescent="0.35">
      <c r="A14" s="6"/>
      <c r="B14" s="6"/>
      <c r="C14" s="7"/>
      <c r="D14" s="6"/>
      <c r="E14" s="6"/>
      <c r="F14" s="6"/>
      <c r="G14" s="6"/>
    </row>
    <row r="15" spans="1:7" x14ac:dyDescent="0.35">
      <c r="A15" s="6"/>
      <c r="B15" s="6"/>
      <c r="C15" s="7"/>
      <c r="D15" s="6"/>
      <c r="E15" s="6"/>
      <c r="F15" s="6"/>
      <c r="G15" s="6"/>
    </row>
    <row r="16" spans="1:7" x14ac:dyDescent="0.35">
      <c r="A16" s="6"/>
      <c r="B16" s="6"/>
      <c r="C16" s="7"/>
      <c r="D16" s="6"/>
      <c r="E16" s="6"/>
      <c r="F16" s="6"/>
      <c r="G16" s="6"/>
    </row>
    <row r="17" spans="1:7" x14ac:dyDescent="0.35">
      <c r="A17" s="6"/>
      <c r="B17" s="6"/>
      <c r="C17" s="7"/>
      <c r="D17" s="6"/>
      <c r="E17" s="6"/>
      <c r="F17" s="6"/>
      <c r="G17" s="6"/>
    </row>
    <row r="18" spans="1:7" x14ac:dyDescent="0.35">
      <c r="A18" s="19" t="s">
        <v>155</v>
      </c>
      <c r="C18" s="20">
        <f>SUM(C8:C17)</f>
        <v>0</v>
      </c>
    </row>
    <row r="20" spans="1:7" ht="15.5" x14ac:dyDescent="0.35">
      <c r="A20" s="40" t="s">
        <v>156</v>
      </c>
      <c r="B20" s="29"/>
      <c r="C20" s="29"/>
      <c r="D20" s="29"/>
      <c r="E20" s="29"/>
      <c r="F20" s="29"/>
      <c r="G20" s="29"/>
    </row>
    <row r="21" spans="1:7" x14ac:dyDescent="0.35">
      <c r="A21" s="18" t="s">
        <v>150</v>
      </c>
      <c r="B21" s="18" t="s">
        <v>151</v>
      </c>
      <c r="C21" s="18" t="s">
        <v>95</v>
      </c>
      <c r="D21" s="18" t="s">
        <v>152</v>
      </c>
      <c r="E21" s="18" t="s">
        <v>153</v>
      </c>
      <c r="F21" s="18" t="s">
        <v>91</v>
      </c>
      <c r="G21" s="18" t="s">
        <v>154</v>
      </c>
    </row>
    <row r="22" spans="1:7" x14ac:dyDescent="0.35">
      <c r="A22" s="6"/>
      <c r="B22" s="6"/>
      <c r="C22" s="7"/>
      <c r="D22" s="6"/>
      <c r="E22" s="6"/>
      <c r="F22" s="6"/>
      <c r="G22" s="6"/>
    </row>
    <row r="23" spans="1:7" x14ac:dyDescent="0.35">
      <c r="A23" s="6"/>
      <c r="B23" s="6"/>
      <c r="C23" s="7"/>
      <c r="D23" s="6"/>
      <c r="E23" s="6"/>
      <c r="F23" s="6"/>
      <c r="G23" s="6"/>
    </row>
    <row r="24" spans="1:7" x14ac:dyDescent="0.35">
      <c r="A24" s="6"/>
      <c r="B24" s="6"/>
      <c r="C24" s="7"/>
      <c r="D24" s="6"/>
      <c r="E24" s="6"/>
      <c r="F24" s="6"/>
      <c r="G24" s="6"/>
    </row>
    <row r="25" spans="1:7" x14ac:dyDescent="0.35">
      <c r="A25" s="6"/>
      <c r="B25" s="6"/>
      <c r="C25" s="7"/>
      <c r="D25" s="6"/>
      <c r="E25" s="6"/>
      <c r="F25" s="6"/>
      <c r="G25" s="6"/>
    </row>
    <row r="26" spans="1:7" x14ac:dyDescent="0.35">
      <c r="A26" s="6"/>
      <c r="B26" s="6"/>
      <c r="C26" s="7"/>
      <c r="D26" s="6"/>
      <c r="E26" s="6"/>
      <c r="F26" s="6"/>
      <c r="G26" s="6"/>
    </row>
    <row r="27" spans="1:7" x14ac:dyDescent="0.35">
      <c r="A27" s="6"/>
      <c r="B27" s="6"/>
      <c r="C27" s="7"/>
      <c r="D27" s="6"/>
      <c r="E27" s="6"/>
      <c r="F27" s="6"/>
      <c r="G27" s="6"/>
    </row>
    <row r="28" spans="1:7" x14ac:dyDescent="0.35">
      <c r="A28" s="6"/>
      <c r="B28" s="6"/>
      <c r="C28" s="7"/>
      <c r="D28" s="6"/>
      <c r="E28" s="6"/>
      <c r="F28" s="6"/>
      <c r="G28" s="6"/>
    </row>
    <row r="29" spans="1:7" x14ac:dyDescent="0.35">
      <c r="A29" s="6"/>
      <c r="B29" s="6"/>
      <c r="C29" s="7"/>
      <c r="D29" s="6"/>
      <c r="E29" s="6"/>
      <c r="F29" s="6"/>
      <c r="G29" s="6"/>
    </row>
    <row r="30" spans="1:7" x14ac:dyDescent="0.35">
      <c r="A30" s="6"/>
      <c r="B30" s="6"/>
      <c r="C30" s="7"/>
      <c r="D30" s="6"/>
      <c r="E30" s="6"/>
      <c r="F30" s="6"/>
      <c r="G30" s="6"/>
    </row>
    <row r="31" spans="1:7" x14ac:dyDescent="0.35">
      <c r="A31" s="6"/>
      <c r="B31" s="6"/>
      <c r="C31" s="7"/>
      <c r="D31" s="6"/>
      <c r="E31" s="6"/>
      <c r="F31" s="6"/>
      <c r="G31" s="6"/>
    </row>
    <row r="32" spans="1:7" x14ac:dyDescent="0.35">
      <c r="A32" s="19" t="s">
        <v>157</v>
      </c>
      <c r="C32" s="20">
        <f>SUM(C22:C31)</f>
        <v>0</v>
      </c>
    </row>
    <row r="34" spans="1:7" ht="15.5" x14ac:dyDescent="0.35">
      <c r="A34" s="40" t="s">
        <v>158</v>
      </c>
      <c r="B34" s="29"/>
      <c r="C34" s="29"/>
      <c r="D34" s="29"/>
      <c r="E34" s="29"/>
      <c r="F34" s="29"/>
      <c r="G34" s="29"/>
    </row>
    <row r="35" spans="1:7" x14ac:dyDescent="0.35">
      <c r="A35" s="18" t="s">
        <v>150</v>
      </c>
      <c r="B35" s="18" t="s">
        <v>151</v>
      </c>
      <c r="C35" s="18" t="s">
        <v>95</v>
      </c>
      <c r="D35" s="18" t="s">
        <v>152</v>
      </c>
      <c r="E35" s="18" t="s">
        <v>153</v>
      </c>
      <c r="F35" s="18" t="s">
        <v>91</v>
      </c>
      <c r="G35" s="18" t="s">
        <v>154</v>
      </c>
    </row>
    <row r="36" spans="1:7" x14ac:dyDescent="0.35">
      <c r="A36" s="6"/>
      <c r="B36" s="6"/>
      <c r="C36" s="7"/>
      <c r="D36" s="6"/>
      <c r="E36" s="6"/>
      <c r="F36" s="6"/>
      <c r="G36" s="6"/>
    </row>
    <row r="37" spans="1:7" x14ac:dyDescent="0.35">
      <c r="A37" s="6"/>
      <c r="B37" s="6"/>
      <c r="C37" s="7"/>
      <c r="D37" s="6"/>
      <c r="E37" s="6"/>
      <c r="F37" s="6"/>
      <c r="G37" s="6"/>
    </row>
    <row r="38" spans="1:7" x14ac:dyDescent="0.35">
      <c r="A38" s="6"/>
      <c r="B38" s="6"/>
      <c r="C38" s="7"/>
      <c r="D38" s="6"/>
      <c r="E38" s="6"/>
      <c r="F38" s="6"/>
      <c r="G38" s="6"/>
    </row>
    <row r="39" spans="1:7" x14ac:dyDescent="0.35">
      <c r="A39" s="6"/>
      <c r="B39" s="6"/>
      <c r="C39" s="7"/>
      <c r="D39" s="6"/>
      <c r="E39" s="6"/>
      <c r="F39" s="6"/>
      <c r="G39" s="6"/>
    </row>
    <row r="40" spans="1:7" x14ac:dyDescent="0.35">
      <c r="A40" s="6"/>
      <c r="B40" s="6"/>
      <c r="C40" s="7"/>
      <c r="D40" s="6"/>
      <c r="E40" s="6"/>
      <c r="F40" s="6"/>
      <c r="G40" s="6"/>
    </row>
    <row r="41" spans="1:7" x14ac:dyDescent="0.35">
      <c r="A41" s="6"/>
      <c r="B41" s="6"/>
      <c r="C41" s="7"/>
      <c r="D41" s="6"/>
      <c r="E41" s="6"/>
      <c r="F41" s="6"/>
      <c r="G41" s="6"/>
    </row>
    <row r="42" spans="1:7" x14ac:dyDescent="0.35">
      <c r="A42" s="6"/>
      <c r="B42" s="6"/>
      <c r="C42" s="7"/>
      <c r="D42" s="6"/>
      <c r="E42" s="6"/>
      <c r="F42" s="6"/>
      <c r="G42" s="6"/>
    </row>
    <row r="43" spans="1:7" x14ac:dyDescent="0.35">
      <c r="A43" s="6"/>
      <c r="B43" s="6"/>
      <c r="C43" s="7"/>
      <c r="D43" s="6"/>
      <c r="E43" s="6"/>
      <c r="F43" s="6"/>
      <c r="G43" s="6"/>
    </row>
    <row r="44" spans="1:7" x14ac:dyDescent="0.35">
      <c r="A44" s="6"/>
      <c r="B44" s="6"/>
      <c r="C44" s="7"/>
      <c r="D44" s="6"/>
      <c r="E44" s="6"/>
      <c r="F44" s="6"/>
      <c r="G44" s="6"/>
    </row>
    <row r="45" spans="1:7" x14ac:dyDescent="0.35">
      <c r="A45" s="6"/>
      <c r="B45" s="6"/>
      <c r="C45" s="7"/>
      <c r="D45" s="6"/>
      <c r="E45" s="6"/>
      <c r="F45" s="6"/>
      <c r="G45" s="6"/>
    </row>
    <row r="46" spans="1:7" x14ac:dyDescent="0.35">
      <c r="A46" s="19" t="s">
        <v>159</v>
      </c>
      <c r="C46" s="20">
        <f>SUM(C36:C45)</f>
        <v>0</v>
      </c>
    </row>
    <row r="48" spans="1:7" ht="15.5" x14ac:dyDescent="0.35">
      <c r="A48" s="40" t="s">
        <v>160</v>
      </c>
      <c r="B48" s="29"/>
      <c r="C48" s="29"/>
      <c r="D48" s="29"/>
      <c r="E48" s="29"/>
      <c r="F48" s="29"/>
      <c r="G48" s="29"/>
    </row>
    <row r="49" spans="1:7" x14ac:dyDescent="0.35">
      <c r="A49" s="18" t="s">
        <v>150</v>
      </c>
      <c r="B49" s="18" t="s">
        <v>151</v>
      </c>
      <c r="C49" s="18" t="s">
        <v>95</v>
      </c>
      <c r="D49" s="18" t="s">
        <v>152</v>
      </c>
      <c r="E49" s="18" t="s">
        <v>153</v>
      </c>
      <c r="F49" s="18" t="s">
        <v>91</v>
      </c>
      <c r="G49" s="18" t="s">
        <v>154</v>
      </c>
    </row>
    <row r="50" spans="1:7" x14ac:dyDescent="0.35">
      <c r="A50" s="6"/>
      <c r="B50" s="6"/>
      <c r="C50" s="7"/>
      <c r="D50" s="6"/>
      <c r="E50" s="6"/>
      <c r="F50" s="6"/>
      <c r="G50" s="6"/>
    </row>
    <row r="51" spans="1:7" x14ac:dyDescent="0.35">
      <c r="A51" s="6"/>
      <c r="B51" s="6"/>
      <c r="C51" s="7"/>
      <c r="D51" s="6"/>
      <c r="E51" s="6"/>
      <c r="F51" s="6"/>
      <c r="G51" s="6"/>
    </row>
    <row r="52" spans="1:7" x14ac:dyDescent="0.35">
      <c r="A52" s="6"/>
      <c r="B52" s="6"/>
      <c r="C52" s="7"/>
      <c r="D52" s="6"/>
      <c r="E52" s="6"/>
      <c r="F52" s="6"/>
      <c r="G52" s="6"/>
    </row>
    <row r="53" spans="1:7" x14ac:dyDescent="0.35">
      <c r="A53" s="6"/>
      <c r="B53" s="6"/>
      <c r="C53" s="7"/>
      <c r="D53" s="6"/>
      <c r="E53" s="6"/>
      <c r="F53" s="6"/>
      <c r="G53" s="6"/>
    </row>
    <row r="54" spans="1:7" x14ac:dyDescent="0.35">
      <c r="A54" s="6"/>
      <c r="B54" s="6"/>
      <c r="C54" s="7"/>
      <c r="D54" s="6"/>
      <c r="E54" s="6"/>
      <c r="F54" s="6"/>
      <c r="G54" s="6"/>
    </row>
    <row r="55" spans="1:7" x14ac:dyDescent="0.35">
      <c r="A55" s="6"/>
      <c r="B55" s="6"/>
      <c r="C55" s="7"/>
      <c r="D55" s="6"/>
      <c r="E55" s="6"/>
      <c r="F55" s="6"/>
      <c r="G55" s="6"/>
    </row>
    <row r="56" spans="1:7" x14ac:dyDescent="0.35">
      <c r="A56" s="6"/>
      <c r="B56" s="6"/>
      <c r="C56" s="7"/>
      <c r="D56" s="6"/>
      <c r="E56" s="6"/>
      <c r="F56" s="6"/>
      <c r="G56" s="6"/>
    </row>
    <row r="57" spans="1:7" x14ac:dyDescent="0.35">
      <c r="A57" s="6"/>
      <c r="B57" s="6"/>
      <c r="C57" s="7"/>
      <c r="D57" s="6"/>
      <c r="E57" s="6"/>
      <c r="F57" s="6"/>
      <c r="G57" s="6"/>
    </row>
    <row r="58" spans="1:7" x14ac:dyDescent="0.35">
      <c r="A58" s="6"/>
      <c r="B58" s="6"/>
      <c r="C58" s="7"/>
      <c r="D58" s="6"/>
      <c r="E58" s="6"/>
      <c r="F58" s="6"/>
      <c r="G58" s="6"/>
    </row>
    <row r="59" spans="1:7" x14ac:dyDescent="0.35">
      <c r="A59" s="6"/>
      <c r="B59" s="6"/>
      <c r="C59" s="7"/>
      <c r="D59" s="6"/>
      <c r="E59" s="6"/>
      <c r="F59" s="6"/>
      <c r="G59" s="6"/>
    </row>
    <row r="60" spans="1:7" x14ac:dyDescent="0.35">
      <c r="A60" s="19" t="s">
        <v>161</v>
      </c>
      <c r="C60" s="20">
        <f>SUM(C50:C59)</f>
        <v>0</v>
      </c>
    </row>
    <row r="62" spans="1:7" ht="15.5" x14ac:dyDescent="0.35">
      <c r="A62" s="40" t="s">
        <v>162</v>
      </c>
      <c r="B62" s="29"/>
      <c r="C62" s="29"/>
      <c r="D62" s="29"/>
      <c r="E62" s="29"/>
      <c r="F62" s="29"/>
      <c r="G62" s="29"/>
    </row>
    <row r="63" spans="1:7" x14ac:dyDescent="0.35">
      <c r="A63" s="18" t="s">
        <v>150</v>
      </c>
      <c r="B63" s="18" t="s">
        <v>151</v>
      </c>
      <c r="C63" s="18" t="s">
        <v>95</v>
      </c>
      <c r="D63" s="18" t="s">
        <v>152</v>
      </c>
      <c r="E63" s="18" t="s">
        <v>153</v>
      </c>
      <c r="F63" s="18" t="s">
        <v>91</v>
      </c>
      <c r="G63" s="18" t="s">
        <v>154</v>
      </c>
    </row>
    <row r="64" spans="1:7" x14ac:dyDescent="0.35">
      <c r="A64" s="6"/>
      <c r="B64" s="6"/>
      <c r="C64" s="7"/>
      <c r="D64" s="6"/>
      <c r="E64" s="6"/>
      <c r="F64" s="6"/>
      <c r="G64" s="6"/>
    </row>
    <row r="65" spans="1:7" x14ac:dyDescent="0.35">
      <c r="A65" s="6"/>
      <c r="B65" s="6"/>
      <c r="C65" s="7"/>
      <c r="D65" s="6"/>
      <c r="E65" s="6"/>
      <c r="F65" s="6"/>
      <c r="G65" s="6"/>
    </row>
    <row r="66" spans="1:7" x14ac:dyDescent="0.35">
      <c r="A66" s="6"/>
      <c r="B66" s="6"/>
      <c r="C66" s="7"/>
      <c r="D66" s="6"/>
      <c r="E66" s="6"/>
      <c r="F66" s="6"/>
      <c r="G66" s="6"/>
    </row>
    <row r="67" spans="1:7" x14ac:dyDescent="0.35">
      <c r="A67" s="6"/>
      <c r="B67" s="6"/>
      <c r="C67" s="7"/>
      <c r="D67" s="6"/>
      <c r="E67" s="6"/>
      <c r="F67" s="6"/>
      <c r="G67" s="6"/>
    </row>
    <row r="68" spans="1:7" x14ac:dyDescent="0.35">
      <c r="A68" s="6"/>
      <c r="B68" s="6"/>
      <c r="C68" s="7"/>
      <c r="D68" s="6"/>
      <c r="E68" s="6"/>
      <c r="F68" s="6"/>
      <c r="G68" s="6"/>
    </row>
    <row r="69" spans="1:7" x14ac:dyDescent="0.35">
      <c r="A69" s="6"/>
      <c r="B69" s="6"/>
      <c r="C69" s="7"/>
      <c r="D69" s="6"/>
      <c r="E69" s="6"/>
      <c r="F69" s="6"/>
      <c r="G69" s="6"/>
    </row>
    <row r="70" spans="1:7" x14ac:dyDescent="0.35">
      <c r="A70" s="6"/>
      <c r="B70" s="6"/>
      <c r="C70" s="7"/>
      <c r="D70" s="6"/>
      <c r="E70" s="6"/>
      <c r="F70" s="6"/>
      <c r="G70" s="6"/>
    </row>
    <row r="71" spans="1:7" x14ac:dyDescent="0.35">
      <c r="A71" s="6"/>
      <c r="B71" s="6"/>
      <c r="C71" s="7"/>
      <c r="D71" s="6"/>
      <c r="E71" s="6"/>
      <c r="F71" s="6"/>
      <c r="G71" s="6"/>
    </row>
    <row r="72" spans="1:7" x14ac:dyDescent="0.35">
      <c r="A72" s="6"/>
      <c r="B72" s="6"/>
      <c r="C72" s="7"/>
      <c r="D72" s="6"/>
      <c r="E72" s="6"/>
      <c r="F72" s="6"/>
      <c r="G72" s="6"/>
    </row>
    <row r="73" spans="1:7" x14ac:dyDescent="0.35">
      <c r="A73" s="6"/>
      <c r="B73" s="6"/>
      <c r="C73" s="7"/>
      <c r="D73" s="6"/>
      <c r="E73" s="6"/>
      <c r="F73" s="6"/>
      <c r="G73" s="6"/>
    </row>
    <row r="74" spans="1:7" x14ac:dyDescent="0.35">
      <c r="A74" s="19" t="s">
        <v>163</v>
      </c>
      <c r="C74" s="20">
        <f>SUM(C64:C73)</f>
        <v>0</v>
      </c>
    </row>
    <row r="76" spans="1:7" ht="15.5" x14ac:dyDescent="0.35">
      <c r="A76" s="17" t="s">
        <v>164</v>
      </c>
      <c r="C76" s="21"/>
    </row>
  </sheetData>
  <mergeCells count="7">
    <mergeCell ref="A62:G62"/>
    <mergeCell ref="A2:G2"/>
    <mergeCell ref="A1:G1"/>
    <mergeCell ref="A6:G6"/>
    <mergeCell ref="A34:G34"/>
    <mergeCell ref="A48:G48"/>
    <mergeCell ref="A20:G20"/>
  </mergeCells>
  <dataValidations count="3">
    <dataValidation type="list" allowBlank="1" sqref="B64:B73 B50:B59 B36:B45 B22:B31 B8:B17" xr:uid="{00000000-0002-0000-0400-000000000000}">
      <formula1>"Roof,HVAC,Plumbing,Electrical,Exterior,Interior,Parking,Landscaping,Appliances,Other"</formula1>
    </dataValidation>
    <dataValidation type="list" allowBlank="1" sqref="D64:D73 D50:D59 D36:D45 D22:D31 D8:D17" xr:uid="{00000000-0002-0000-0400-000001000000}">
      <formula1>"Q1,Q2,Q3,Q4,TBD"</formula1>
    </dataValidation>
    <dataValidation type="list" allowBlank="1" sqref="F64:F73 F50:F59 F36:F45 F22:F31 F8:F17" xr:uid="{00000000-0002-0000-0400-000002000000}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5" x14ac:dyDescent="0.35"/>
  <cols>
    <col min="1" max="1" width="10" customWidth="1"/>
    <col min="2" max="2" width="35" customWidth="1"/>
    <col min="3" max="5" width="18" customWidth="1"/>
    <col min="6" max="6" width="30" customWidth="1"/>
  </cols>
  <sheetData>
    <row r="1" spans="1:6" ht="25" customHeight="1" x14ac:dyDescent="0.35">
      <c r="A1" s="38" t="s">
        <v>165</v>
      </c>
      <c r="B1" s="29"/>
      <c r="C1" s="29"/>
      <c r="D1" s="29"/>
      <c r="E1" s="29"/>
      <c r="F1" s="29"/>
    </row>
    <row r="2" spans="1:6" x14ac:dyDescent="0.35">
      <c r="A2" s="39" t="s">
        <v>166</v>
      </c>
      <c r="B2" s="29"/>
      <c r="C2" s="29"/>
      <c r="D2" s="29"/>
      <c r="E2" s="29"/>
      <c r="F2" s="29"/>
    </row>
    <row r="4" spans="1:6" x14ac:dyDescent="0.35">
      <c r="A4" s="12" t="s">
        <v>93</v>
      </c>
      <c r="B4" s="12" t="s">
        <v>167</v>
      </c>
      <c r="C4" s="12" t="s">
        <v>95</v>
      </c>
      <c r="D4" s="12" t="s">
        <v>168</v>
      </c>
      <c r="E4" s="12" t="s">
        <v>169</v>
      </c>
      <c r="F4" s="12" t="s">
        <v>154</v>
      </c>
    </row>
    <row r="5" spans="1:6" x14ac:dyDescent="0.35">
      <c r="A5" s="27">
        <v>1</v>
      </c>
      <c r="B5" s="6"/>
      <c r="C5" s="7"/>
      <c r="D5" s="10">
        <f>C5*POWER(1.03,0)</f>
        <v>0</v>
      </c>
      <c r="E5" s="7"/>
      <c r="F5" s="6"/>
    </row>
    <row r="6" spans="1:6" x14ac:dyDescent="0.35">
      <c r="A6" s="27">
        <v>2</v>
      </c>
      <c r="B6" s="6"/>
      <c r="C6" s="7"/>
      <c r="D6" s="10">
        <f>C6*POWER(1.03,1)</f>
        <v>0</v>
      </c>
      <c r="E6" s="7"/>
      <c r="F6" s="6"/>
    </row>
    <row r="7" spans="1:6" x14ac:dyDescent="0.35">
      <c r="A7" s="27">
        <v>3</v>
      </c>
      <c r="B7" s="6"/>
      <c r="C7" s="7"/>
      <c r="D7" s="10">
        <f>C7*POWER(1.03,2)</f>
        <v>0</v>
      </c>
      <c r="E7" s="7"/>
      <c r="F7" s="6"/>
    </row>
    <row r="8" spans="1:6" x14ac:dyDescent="0.35">
      <c r="A8" s="27">
        <v>4</v>
      </c>
      <c r="B8" s="6"/>
      <c r="C8" s="7"/>
      <c r="D8" s="10">
        <f>C8*POWER(1.03,3)</f>
        <v>0</v>
      </c>
      <c r="E8" s="7"/>
      <c r="F8" s="6"/>
    </row>
    <row r="9" spans="1:6" x14ac:dyDescent="0.35">
      <c r="A9" s="27">
        <v>5</v>
      </c>
      <c r="B9" s="6"/>
      <c r="C9" s="7"/>
      <c r="D9" s="10">
        <f>C9*POWER(1.03,4)</f>
        <v>0</v>
      </c>
      <c r="E9" s="7"/>
      <c r="F9" s="6"/>
    </row>
    <row r="10" spans="1:6" x14ac:dyDescent="0.35">
      <c r="A10" s="27">
        <v>6</v>
      </c>
      <c r="B10" s="6"/>
      <c r="C10" s="7"/>
      <c r="D10" s="10">
        <f>C10*POWER(1.03,5)</f>
        <v>0</v>
      </c>
      <c r="E10" s="7"/>
      <c r="F10" s="6"/>
    </row>
    <row r="11" spans="1:6" x14ac:dyDescent="0.35">
      <c r="A11" s="27">
        <v>7</v>
      </c>
      <c r="B11" s="6"/>
      <c r="C11" s="7"/>
      <c r="D11" s="10">
        <f>C11*POWER(1.03,6)</f>
        <v>0</v>
      </c>
      <c r="E11" s="7"/>
      <c r="F11" s="6"/>
    </row>
    <row r="12" spans="1:6" x14ac:dyDescent="0.35">
      <c r="A12" s="27">
        <v>8</v>
      </c>
      <c r="B12" s="6"/>
      <c r="C12" s="7"/>
      <c r="D12" s="10">
        <f>C12*POWER(1.03,7)</f>
        <v>0</v>
      </c>
      <c r="E12" s="7"/>
      <c r="F12" s="6"/>
    </row>
    <row r="13" spans="1:6" x14ac:dyDescent="0.35">
      <c r="A13" s="27">
        <v>9</v>
      </c>
      <c r="B13" s="6"/>
      <c r="C13" s="7"/>
      <c r="D13" s="10">
        <f>C13*POWER(1.03,8)</f>
        <v>0</v>
      </c>
      <c r="E13" s="7"/>
      <c r="F13" s="6"/>
    </row>
    <row r="14" spans="1:6" x14ac:dyDescent="0.35">
      <c r="A14" s="27">
        <v>10</v>
      </c>
      <c r="B14" s="6"/>
      <c r="C14" s="7"/>
      <c r="D14" s="10">
        <f>C14*POWER(1.03,9)</f>
        <v>0</v>
      </c>
      <c r="E14" s="7"/>
      <c r="F14" s="6"/>
    </row>
    <row r="15" spans="1:6" x14ac:dyDescent="0.35">
      <c r="A15" s="3" t="s">
        <v>170</v>
      </c>
      <c r="C15" s="15">
        <f>SUM(C5:C14)</f>
        <v>0</v>
      </c>
      <c r="D15" s="15">
        <f>SUM(D5:D14)</f>
        <v>0</v>
      </c>
    </row>
  </sheetData>
  <mergeCells count="2">
    <mergeCell ref="A2:F2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A47E2-7863-483A-9C3B-EE276E6F9DF4}">
  <ds:schemaRefs>
    <ds:schemaRef ds:uri="http://schemas.microsoft.com/office/2006/metadata/properties"/>
    <ds:schemaRef ds:uri="http://schemas.microsoft.com/office/infopath/2007/PartnerControls"/>
    <ds:schemaRef ds:uri="8383a29a-9177-4edf-ad15-acb67fc5969f"/>
    <ds:schemaRef ds:uri="94863469-f559-447e-9623-d05bb9c030e9"/>
  </ds:schemaRefs>
</ds:datastoreItem>
</file>

<file path=customXml/itemProps2.xml><?xml version="1.0" encoding="utf-8"?>
<ds:datastoreItem xmlns:ds="http://schemas.openxmlformats.org/officeDocument/2006/customXml" ds:itemID="{1195F59E-0C09-499F-9030-58E8A907FA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7304E7-60D8-4ACC-93B6-A3C10E92A3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63469-f559-447e-9623-d05bb9c030e9"/>
    <ds:schemaRef ds:uri="8383a29a-9177-4edf-ad15-acb67fc59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SUMMARY</vt:lpstr>
      <vt:lpstr>Property_Info</vt:lpstr>
      <vt:lpstr>Systems_Inventory</vt:lpstr>
      <vt:lpstr>5_Year_CapEx_Plan</vt:lpstr>
      <vt:lpstr>10_Year_CapEx_Plan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 Attarde</cp:lastModifiedBy>
  <dcterms:created xsi:type="dcterms:W3CDTF">2025-12-13T22:51:41Z</dcterms:created>
  <dcterms:modified xsi:type="dcterms:W3CDTF">2025-12-13T22:56:51Z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  <property fmtid="{D5CDD505-2E9C-101B-9397-08002B2CF9AE}" pid="3" name="MediaServiceImageTags">
    <vt:lpwstr/>
  </property>
</Properties>
</file>